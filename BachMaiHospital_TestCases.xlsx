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16380" windowHeight="8190" tabRatio="500" activeTab="1"/>
  </bookViews>
  <sheets>
    <sheet name="Tổng quan" sheetId="1" r:id="rId1"/>
    <sheet name="Test Case" sheetId="2" r:id="rId2"/>
  </sheets>
  <definedNames>
    <definedName name="_xlnm._FilterDatabase" localSheetId="1" hidden="1">'Test Case'!$A$1:$P$300</definedName>
    <definedName name="_xlnm.Print_Titles" localSheetId="1">'Test Case'!$1:$1</definedName>
  </definedNames>
  <calcPr calcId="14562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E16" i="1" l="1"/>
  <c r="D16" i="1"/>
  <c r="C16" i="1"/>
  <c r="B16" i="1"/>
  <c r="E15" i="1"/>
  <c r="D15" i="1"/>
  <c r="C15" i="1"/>
  <c r="B15" i="1"/>
  <c r="E14" i="1"/>
  <c r="D14" i="1"/>
  <c r="C14" i="1"/>
  <c r="B14" i="1"/>
  <c r="E13" i="1"/>
  <c r="D13" i="1"/>
  <c r="C13" i="1"/>
  <c r="B13" i="1"/>
  <c r="E12" i="1"/>
  <c r="D12" i="1"/>
  <c r="C12" i="1"/>
  <c r="B12" i="1"/>
  <c r="E11" i="1"/>
  <c r="D11" i="1"/>
  <c r="C11" i="1"/>
  <c r="B11" i="1"/>
  <c r="F12" i="1" l="1"/>
  <c r="G12" i="1" s="1"/>
  <c r="F13" i="1"/>
  <c r="G13" i="1" s="1"/>
  <c r="F14" i="1"/>
  <c r="G14" i="1" s="1"/>
  <c r="F16" i="1"/>
  <c r="G16" i="1" s="1"/>
  <c r="F15" i="1"/>
  <c r="G15" i="1" s="1"/>
  <c r="C17" i="1"/>
  <c r="B17" i="1"/>
  <c r="D17" i="1"/>
  <c r="E17" i="1"/>
  <c r="F11" i="1"/>
  <c r="F17" i="1" l="1"/>
  <c r="G17" i="1" s="1"/>
  <c r="G11" i="1"/>
</calcChain>
</file>

<file path=xl/sharedStrings.xml><?xml version="1.0" encoding="utf-8"?>
<sst xmlns="http://schemas.openxmlformats.org/spreadsheetml/2006/main" count="3643" uniqueCount="1357">
  <si>
    <t>BỘ TEST CASE – BACH MAI HOSPITAL (BMH)</t>
  </si>
  <si>
    <t>Kiểm thử chức năng thủ công – Vòng 1 – Phiên bản 1.0</t>
  </si>
  <si>
    <t>Môi trường kiểm thử</t>
  </si>
  <si>
    <t>Windows 11 / Microsoft Edge 155.0.4283.62 (64-bit) / Môi trường kiểm thử, phiên bản 1.0</t>
  </si>
  <si>
    <t>Người thực hiện</t>
  </si>
  <si>
    <t>Tran Liinh</t>
  </si>
  <si>
    <t>Thời gian thực hiện</t>
  </si>
  <si>
    <t>19/10/2026 – 23/10/2026</t>
  </si>
  <si>
    <t>Nguồn dữ liệu</t>
  </si>
  <si>
    <t>Test case: atm-exporter_1.xlsx; kết quả thực thi và lỗi: atm-report.xlsx, list_bug.csv</t>
  </si>
  <si>
    <t>THỐNG KÊ THEO CHỨC NĂNG</t>
  </si>
  <si>
    <t>Chức năng</t>
  </si>
  <si>
    <t>Tổng TC</t>
  </si>
  <si>
    <t>Pass</t>
  </si>
  <si>
    <t>Fail</t>
  </si>
  <si>
    <t>Chưa thực thi</t>
  </si>
  <si>
    <t>Đã thực thi</t>
  </si>
  <si>
    <t>Tỷ lệ Pass</t>
  </si>
  <si>
    <t>01 - Đăng nhập</t>
  </si>
  <si>
    <t>02 - Quản lý bệnh nhân</t>
  </si>
  <si>
    <t>03 - Quản lý giấy khám bệnh</t>
  </si>
  <si>
    <t>04 - Quản lý thuốc</t>
  </si>
  <si>
    <t>05 - Quản lý thẻ BHYT</t>
  </si>
  <si>
    <t>06 - Lịch làm việc bác sĩ</t>
  </si>
  <si>
    <t>Tổng</t>
  </si>
  <si>
    <t>GHI CHÚ</t>
  </si>
  <si>
    <t>1. Mỗi dòng trong sheet “Test Case” là một test case; các bước được đánh số trong cùng một ô. Cột “Kết quả” có danh sách chọn (Pass / Fail / Blocked / Chưa thực thi) và có thể chỉnh sửa; bảng thống kê trên tự cập nhật.</t>
  </si>
  <si>
    <t>2. “Dữ liệu kiểm thử” được trích từ nội dung bước thực hiện (giá trị trong dấu ngoặc kép hoặc “vd …”) và cột dữ liệu của hệ thống quản lý test. Dấu “—” nghĩa là test case không nêu dữ liệu cụ thể.</t>
  </si>
  <si>
    <t>3. “Kết quả thực tế”: với test case Pass ghi nhận đúng như kết quả mong đợi; với test case Fail lấy từ mô tả lỗi trên Jira (cột “Mã lỗi”). Báo cáo thực thi gốc không lưu văn bản kết quả thực tế riêng cho từng test case Pass.</t>
  </si>
  <si>
    <t>4. BMH-T76 (Đăng nhập khi định dạng email không hợp lệ) và BMH-T381 (Xóa thông tin bệnh nhân) có trong bộ test case nhưng chưa có bản ghi thực thi. Ngược lại báo cáo thực thi có BMH-T2 và BMH-T14 (đã Pass) không còn trong tệp test case; hai test case này không được đưa vào file.</t>
  </si>
  <si>
    <t>STT</t>
  </si>
  <si>
    <t>Mã TC</t>
  </si>
  <si>
    <t>Chức năng con</t>
  </si>
  <si>
    <t>Tên test case</t>
  </si>
  <si>
    <t>Loại</t>
  </si>
  <si>
    <t>Ưu tiên</t>
  </si>
  <si>
    <t>Điều kiện tiên quyết</t>
  </si>
  <si>
    <t>Bước thực hiện</t>
  </si>
  <si>
    <t>Dữ liệu kiểm thử</t>
  </si>
  <si>
    <t>Kết quả mong đợi</t>
  </si>
  <si>
    <t>Kết quả thực tế</t>
  </si>
  <si>
    <t>Kết quả</t>
  </si>
  <si>
    <t>Ngày thực hiện</t>
  </si>
  <si>
    <t>Mã lỗi</t>
  </si>
  <si>
    <t>Ghi chú</t>
  </si>
  <si>
    <t>BMH-T1</t>
  </si>
  <si>
    <t>Đăng nhập thành công với thông tin hợp lệ</t>
  </si>
  <si>
    <t>Đăng nhập bằng tài khoản hợp lệ</t>
  </si>
  <si>
    <t>Hợp lệ</t>
  </si>
  <si>
    <t>High</t>
  </si>
  <si>
    <t>Tài khoản đang hoạt động và có thông tin đăng nhập hợp lệ</t>
  </si>
  <si>
    <t>1. Mở trang đăng nhập.
2. Nhập email hợp lệ.
3. Nhập password hợp lệ.
4. Nhấn Đăng nhập.</t>
  </si>
  <si>
    <t>Đăng nhập thành công và chuyển tới giao diện</t>
  </si>
  <si>
    <t>Đúng như kết quả mong đợi.</t>
  </si>
  <si>
    <t>BMH-T3</t>
  </si>
  <si>
    <t>Đăng nhập thất bại</t>
  </si>
  <si>
    <t>Đăng nhập khi mật khẩu không hợp lệ</t>
  </si>
  <si>
    <t>Không hợp lệ</t>
  </si>
  <si>
    <t>Đang ở trang đăng nhập</t>
  </si>
  <si>
    <t>1. Nhập email đúng địa chỉ và đúng định dạng
2. Nhập password không hợp lệ
3. Nhấn Đăng nhập.</t>
  </si>
  <si>
    <t>—</t>
  </si>
  <si>
    <t>Không đăng nhập; hiển thị thông báo lỗi phù hợp.</t>
  </si>
  <si>
    <t>BMH-T10</t>
  </si>
  <si>
    <t>Thêm mới bệnh nhân</t>
  </si>
  <si>
    <t>Tạo hồ sơ bệnh nhân với dữ liệu hợp lệ</t>
  </si>
  <si>
    <t>Đăng nhập Admin; có quyền quản lý bệnh nhân</t>
  </si>
  <si>
    <t>1. Mở Quản lý bệnh nhân.
2. Chọn Thêm mới.
3. Nhập các trường hợp lệ.
4. Lưu hồ sơ.</t>
  </si>
  <si>
    <t>Hồ sơ được lưu; mã bệnh nhân duy nhất; dữ liệu hiển thị chính xác.</t>
  </si>
  <si>
    <t>BMH-T12</t>
  </si>
  <si>
    <t>Quản lý danh sách bệnh nhân</t>
  </si>
  <si>
    <t>Cập nhật thông tin bệnh nhân</t>
  </si>
  <si>
    <t>Có hồ sơ bệnh nhân đang hoạt động</t>
  </si>
  <si>
    <t>1. Tìm hồ sơ.
2. Chọn Sửa.
3. Thay đổi một hoặc nhiều trường được phép.
4. Lưu và mở lại hồ sơ.</t>
  </si>
  <si>
    <t>Thông tin mới được lưu và hiển thị nhất quán.</t>
  </si>
  <si>
    <t>BMH-T15</t>
  </si>
  <si>
    <t>Kiểm tra phân trang danh sách bệnh nhân</t>
  </si>
  <si>
    <t>Normal</t>
  </si>
  <si>
    <t>Có ít nhất 11 hồ sơ phù hợp bộ lọc</t>
  </si>
  <si>
    <t>1. Mở danh sách bệnh nhân.
2. Đếm số bản ghi trang đầu.
3. Chuyển trang tiếp theo.</t>
  </si>
  <si>
    <t>Trang hiển thị tối đa 10 bệnh nhân theo SRS; phân trang điều hướng đúng.</t>
  </si>
  <si>
    <t>BMH-T16</t>
  </si>
  <si>
    <t>Tìm kiếm bệnh nhân theo mã</t>
  </si>
  <si>
    <t>Có bệnh nhân với mã đã biết</t>
  </si>
  <si>
    <t>1. Nhập mã bệnh nhân vào ô tìm kiếm.
2. Thực hiện tìm kiếm.</t>
  </si>
  <si>
    <t>Hiển thị đúng hồ sơ tương ứng hoặc thông báo không có kết quả.</t>
  </si>
  <si>
    <t>BMH-T17</t>
  </si>
  <si>
    <t>Tìm bệnh nhân bằng tên không dấu</t>
  </si>
  <si>
    <t>Có hồ sơ tên tiếng Việt có dấu</t>
  </si>
  <si>
    <t>1. Nhập tên không dấu hoặc một phần tên.
2. Thực hiện tìm kiếm.</t>
  </si>
  <si>
    <t>Trả về kết quả thông tin bệnh nhân</t>
  </si>
  <si>
    <t>BMH-T76</t>
  </si>
  <si>
    <t>Đăng nhập khi định dạng email không hợp lệ</t>
  </si>
  <si>
    <t>1. Nhập email bị sai định dạng
2. Nhập password hợp lệ
3. Nhấn Đăng nhập.</t>
  </si>
  <si>
    <t>Chưa có bản ghi thực thi cho test case này trong báo cáo kết quả.</t>
  </si>
  <si>
    <t>BMH-T77</t>
  </si>
  <si>
    <t>Đăng nhập khi địa chỉ email không hợp lệ</t>
  </si>
  <si>
    <t>1. Nhập email bị sai địa chỉ
2. Nhập password hợp lệ
3. Nhấn Đăng nhập.</t>
  </si>
  <si>
    <t>BMH-T78</t>
  </si>
  <si>
    <t>Đăng nhập khi bỏ trống trường email</t>
  </si>
  <si>
    <t>1. Bỏ trống trường email
2. Nhập password hợp lệ
3. Nhấn Đăng nhập.</t>
  </si>
  <si>
    <t>BMH-T79</t>
  </si>
  <si>
    <t>Đăng nhập khi bỏ trống trường password</t>
  </si>
  <si>
    <t>1. Nhập email hợp lệ
2. Bỏ trống trường password
3. Nhấn Đăng nhập.</t>
  </si>
  <si>
    <t>BMH-T80</t>
  </si>
  <si>
    <t>Đăng nhập khi bỏ trống trường email và password</t>
  </si>
  <si>
    <t>1. Bỏ trống trường email
2. Bỏ trống trường password
3. Nhấn Đăng nhập.</t>
  </si>
  <si>
    <t>BMH-T82</t>
  </si>
  <si>
    <t>Đăng nhập khi địa chỉ email và password không hợp lệ</t>
  </si>
  <si>
    <t>1. Nhập email bị sai địa chỉ
2. Nhập password không hợp lệ
3. Nhấn Đăng nhập.</t>
  </si>
  <si>
    <t>BMH-T83</t>
  </si>
  <si>
    <t>Đăng nhập khi email chưa được đăng kí</t>
  </si>
  <si>
    <t>1. Nhập email chưa được đăng kí
2. Nhập password hợp lệ
3. Nhấn Đăng nhập.</t>
  </si>
  <si>
    <t>BMH-T84</t>
  </si>
  <si>
    <t>Tìm kiếm bệnh nhân theo họ và tên</t>
  </si>
  <si>
    <t>1. Nhập họ và tên bệnh nhân vào ô tìm kiếm.
2. Thực hiện tìm kiếm.</t>
  </si>
  <si>
    <t>BMH-T85</t>
  </si>
  <si>
    <t>Hiển thị danh sách bệnh nhân</t>
  </si>
  <si>
    <t>Đăng nhập thành công</t>
  </si>
  <si>
    <t>1. Đăng nhập hệ thống
2. Mở menu quản lý bệnh nhân
3. Quan sát danh sách bệnh nhân được hiển thị</t>
  </si>
  <si>
    <t>Danh sách bệnh nhân hiển thị theo giao diện thiết kế, có đầy đủ các cột thông tin: STT, Mã, Ảnh đại diện, Họ và tên, Giới tính, Số điện thoại, Email, Ngày sinh, Địa chỉ và Hành động</t>
  </si>
  <si>
    <t>BMH-T87</t>
  </si>
  <si>
    <t>Mở chức năng thêm bệnh nhân</t>
  </si>
  <si>
    <t>Đăng nhập thành công và đang ở trang danh sách bệnh nhân</t>
  </si>
  <si>
    <t>1. Nhấn nút Thêm bệnh nhân
2. Quan sát giao diện thêm bệnh nhân
3. Kiểm tra các nút chức năng trên giao diện</t>
  </si>
  <si>
    <t>Bước 1: Hệ thống mở giao diện thêm bệnh nhân
Bước 2: Giao diện hiển thị đầy đủ các trường nhập liệu và các nút chức năng theo thiết kế
Bước 3: Các nút được hiển thị đầy đủ và thao tác được</t>
  </si>
  <si>
    <t>BMH-T88</t>
  </si>
  <si>
    <t>Tìm kiếm bệnh nhân khi không nhập nội dung</t>
  </si>
  <si>
    <t>Đang ở trang quản lý bệnh nhân</t>
  </si>
  <si>
    <t>1. Để trống nội dung và nhấn nút  tìm kiếm.
2. Thực hiện tìm kiếm.</t>
  </si>
  <si>
    <t>Hệ thống không tìm được thông tin bệnh nhân và báo lỗi</t>
  </si>
  <si>
    <t>BMH-T89</t>
  </si>
  <si>
    <t>Tìm kiếm bệnh nhân bằng mã không tồn tại</t>
  </si>
  <si>
    <t>1. Nhập mã bệnh nhân không tồn tại
2. Thực hiện tìm kiếm.</t>
  </si>
  <si>
    <t>BMH-T90</t>
  </si>
  <si>
    <t>Tìm kiếm bệnh nhân bằng tên không tồn tại</t>
  </si>
  <si>
    <t>1. Nhập tên bệnh nhân không tồn tại
2. Thực hiện tìm kiếm.</t>
  </si>
  <si>
    <t>BMH-T92</t>
  </si>
  <si>
    <t>Thêm bệnh nhân khi bỏ trống trường Họ và tên</t>
  </si>
  <si>
    <t>Đang ở giao diện điền thông tin bệnh nhân</t>
  </si>
  <si>
    <t>1. Mở form thêm bệnh nhân.
2. Để trống trường họ và tên và nhập thông tin hợp lệ cho các trường khác
3. Lưu.</t>
  </si>
  <si>
    <t>Hệ thống báo lỗi và từ chối thêm bệnh nhân</t>
  </si>
  <si>
    <t>BMH-T93</t>
  </si>
  <si>
    <t>Thêm bệnh nhân khi bỏ trống trường ngày sinh</t>
  </si>
  <si>
    <t>1. Mở form thêm bệnh nhân.
2. Để trống trường Ngày sinh và nhập thông tin hợp lệ cho các trường khác
3. Lưu.</t>
  </si>
  <si>
    <t>BMH-T94</t>
  </si>
  <si>
    <t>Thêm bệnh nhân khi bỏ trống trường  Email</t>
  </si>
  <si>
    <t>1. Mở form thêm bệnh nhân.
2. Để trống trường Email và nhập thông tin hợp lệ cho các trường khác
3. Lưu.</t>
  </si>
  <si>
    <t>BMH-T95</t>
  </si>
  <si>
    <t>Thêm bệnh nhân khi bỏ trống trường Số điện thoại</t>
  </si>
  <si>
    <t>1. Mở form thêm bệnh nhân.
2. Để trống trường  và nhập thông tin hợp lệ cho các trường khác
3. Lưu.</t>
  </si>
  <si>
    <t>BMH-T96</t>
  </si>
  <si>
    <t>Thêm bệnh nhân khi bỏ trống trường Địa chỉ</t>
  </si>
  <si>
    <t>1. Mở form thêm bệnh nhân.
2. Để trống trường Địa chỉ và nhập thông tin hợp lệ cho các trường khác
3. Lưu.</t>
  </si>
  <si>
    <t>BMH-T97</t>
  </si>
  <si>
    <t>Thêm bệnh nhân khi bỏ trống trường Mật khẩu</t>
  </si>
  <si>
    <t>1. Mở form thêm bệnh nhân.
2. Để trống trường Mật khẩu và nhập thông tin hợp lệ cho các trường khác
3. Lưu.</t>
  </si>
  <si>
    <t>BMH-T98</t>
  </si>
  <si>
    <t>Thêm bệnh nhân khi nhập ngày sinh không hợp lệ</t>
  </si>
  <si>
    <t>1. Mở Quản lý bệnh nhân.
2. Chọn Thêm mới.
3. Nhập ngày sinh không hợp lệ và các trường khác hợp lệ
4. Lưu hồ sơ.</t>
  </si>
  <si>
    <t>Hiển thị thông báo lỗi ngày sinh không hợp lệ và không thêm được bệnh nhân</t>
  </si>
  <si>
    <t>BMH-T99</t>
  </si>
  <si>
    <t>Thêm bệnh nhân khi định dạng Email không hợp lệ</t>
  </si>
  <si>
    <t>1. Mở Quản lý bệnh nhân.
2. Chọn Thêm mới.
3. Nhập Email không hợp lệ và các trường khác hợp lệ
4. Lưu hồ sơ.</t>
  </si>
  <si>
    <t>Hiển thị thông báo lỗi Email không hợp lệ và không thêm được bệnh nhân</t>
  </si>
  <si>
    <t>BMH-T100</t>
  </si>
  <si>
    <t>Thêm bệnh nhân khi định dạng Số điện thoại không hợp lệ</t>
  </si>
  <si>
    <t>1. Mở Quản lý bệnh nhân.
2. Chọn Thêm mới.
3. Nhập Số điện thoại không hợp lệ và các trường khác hợp lệ
4. Lưu hồ sơ.</t>
  </si>
  <si>
    <t>Hiển thị thông báo lỗi Số điện thoại  không hợp lệ và không thêm được bệnh nhân</t>
  </si>
  <si>
    <t>BMH-T165</t>
  </si>
  <si>
    <t>Quản lý danh sách giấy khám bệnh</t>
  </si>
  <si>
    <t>TC-QL-POS-003 - Tìm kiếm theo tên bệnh nhân</t>
  </si>
  <si>
    <t>Có bệnh nhân tên xác định</t>
  </si>
  <si>
    <t>1. Nhập tên vào ô tìm kiếm
2. Nhấn Tìm kiếm</t>
  </si>
  <si>
    <t>Chỉ hiển thị giấy khám của bệnh nhân phù hợp</t>
  </si>
  <si>
    <t>BMH-T167</t>
  </si>
  <si>
    <t>TC-QL-POS-005 - Kiểm tra các lựa chọn của bộ lọc Trạng thái và Thanh toán</t>
  </si>
  <si>
    <t>Đang ở danh sách</t>
  </si>
  <si>
    <t>1. Mở dropdown Trạng thái
2. Mở dropdown Thanh toán</t>
  </si>
  <si>
    <t>Trạng thái gồm Đã khám, Đang khám, Chưa khám; Thanh toán gồm Đã thanh toán, Chưa thanh toán</t>
  </si>
  <si>
    <t>BMH-T171</t>
  </si>
  <si>
    <t>TC-QL-POS-009 - Lọc theo thanh toán Đã thanh toán</t>
  </si>
  <si>
    <t>Có giấy đã thanh toán</t>
  </si>
  <si>
    <t>1. Chọn Đã thanh toán
2. Nhấn Tìm kiếm</t>
  </si>
  <si>
    <t>Chỉ hiển thị giấy Đã thanh toán</t>
  </si>
  <si>
    <t>BMH-T172</t>
  </si>
  <si>
    <t>TC-QL-POS-010 - Lọc theo thanh toán Chưa thanh toán</t>
  </si>
  <si>
    <t>Có giấy chưa thanh toán</t>
  </si>
  <si>
    <t>1. Chọn Chưa thanh toán
2. Nhấn Tìm kiếm</t>
  </si>
  <si>
    <t>Chỉ hiển thị giấy Chưa thanh toán</t>
  </si>
  <si>
    <t>BMH-T173</t>
  </si>
  <si>
    <t>TC-QL-POS-011 - Lọc theo khoảng ngày hợp lệ</t>
  </si>
  <si>
    <t>Có giấy trong khoảng ngày kiểm thử</t>
  </si>
  <si>
    <t>1. Chọn ngày bắt đầu
2. Chọn ngày kết thúc (≥ ngày bắt đầu)
3. Nhấn Tìm kiếm</t>
  </si>
  <si>
    <t>Chỉ hiển thị giấy có ngày nằm trong khoảng đã chọn</t>
  </si>
  <si>
    <t>BMH-T174</t>
  </si>
  <si>
    <t>TC-QL-POS-012 - Tìm kiếm kết hợp nhiều điều kiện</t>
  </si>
  <si>
    <t>Có dữ liệu thỏa mãn các điều kiện</t>
  </si>
  <si>
    <t>1. Nhập tên/mã bệnh nhân
2. Chọn Trạng thái
3. Chọn Thanh toán
4. Chọn khoảng ngày
5. Nhấn Tìm kiếm</t>
  </si>
  <si>
    <t>Danh sách chỉ gồm giấy thỏa mãn đồng thời tất cả điều kiện</t>
  </si>
  <si>
    <t>BMH-T185</t>
  </si>
  <si>
    <t>TC-QL-NEG-002 - Tìm kiếm bằng mã bệnh nhân không tồn tại</t>
  </si>
  <si>
    <t>1. Nhập mã không tồn tại (vd BN999999)
2. Nhấn Tìm kiếm</t>
  </si>
  <si>
    <t>Bước 1: BN999999</t>
  </si>
  <si>
    <t>Danh sách rỗng hoặc thông báo không có kết quả</t>
  </si>
  <si>
    <t>BMH-T194</t>
  </si>
  <si>
    <t>Thêm giấy khám bệnh</t>
  </si>
  <si>
    <t>TC-ADD-POS-003 - Thêm giấy khám chỉ với các trường bắt buộc</t>
  </si>
  <si>
    <t>Có dịch vụ, phòng khám, bệnh nhân</t>
  </si>
  <si>
    <t>1. Điền 5 trường bắt buộc, bỏ trống Bác sĩ và Thẻ BHYT
2. Nhấn Lưu lại</t>
  </si>
  <si>
    <t>Lưu thành công, không yêu cầu Bác sĩ</t>
  </si>
  <si>
    <t>BMH-T195</t>
  </si>
  <si>
    <t>TC-ADD-POS-004 - Chọn Dịch vụ khám hiển thị Giá dịch vụ</t>
  </si>
  <si>
    <t>Có dịch vụ khám có giá</t>
  </si>
  <si>
    <t>1. Mở dropdown Dịch vụ khám
2. Chọn một dịch vụ</t>
  </si>
  <si>
    <t>Dịch vụ hiển thị trên trường; Giá dịch vụ hiển thị đúng giá của dịch vụ</t>
  </si>
  <si>
    <t>BMH-T197</t>
  </si>
  <si>
    <t>TC-ADD-POS-006 - Chọn Tên bệnh nhân</t>
  </si>
  <si>
    <t>Có bệnh nhân</t>
  </si>
  <si>
    <t>1. Mở dropdown Chọn bệnh nhân
2. Chọn một bệnh nhân</t>
  </si>
  <si>
    <t>Bệnh nhân đã chọn hiển thị trên trường</t>
  </si>
  <si>
    <t>BMH-T214</t>
  </si>
  <si>
    <t>TC-QL-POS-001 - Hiển thị danh sách giấy khám bệnh</t>
  </si>
  <si>
    <t>Đã đăng nhập; có dữ liệu giấy khám</t>
  </si>
  <si>
    <t>1. Vào Quản lý &gt; Danh sách giấy khám bệnh</t>
  </si>
  <si>
    <t>Hiển thị các cột STT, Mã, Tên bệnh nhân, Mã bệnh nhân, Dịch vụ, Phòng khám, Bác sĩ, Ngày, Trạng thái, Thanh toán, Hành động; có ô tìm kiếm, 2 bộ lọc, 2 ô ngày, nút Tìm kiếm và Thêm giấy khám bệnh</t>
  </si>
  <si>
    <t>BMH-T215</t>
  </si>
  <si>
    <t>TC-QL-POS-002 - Kiểm tra dữ liệu hiển thị của một giấy khám</t>
  </si>
  <si>
    <t>Có ít nhất 1 giấy khám</t>
  </si>
  <si>
    <t>1. Mở danh sách
2. Đối chiếu một dòng với dữ liệu gốc</t>
  </si>
  <si>
    <t>Các thông tin trên dòng khớp dữ liệu thực tế; định dạng ngày dd-mm-yyyy</t>
  </si>
  <si>
    <t>BMH-T217</t>
  </si>
  <si>
    <t>TC-QL-POS-004 - Tìm kiếm theo mã bệnh nhân</t>
  </si>
  <si>
    <t>Có bệnh nhân mã xác định (vd BN000007)</t>
  </si>
  <si>
    <t>1. Nhập mã bệnh nhân
2. Nhấn Tìm kiếm</t>
  </si>
  <si>
    <t>Chỉ hiển thị giấy khám của bệnh nhân có mã đó</t>
  </si>
  <si>
    <t>BMH-T219</t>
  </si>
  <si>
    <t>TC-QL-POS-006 - Lọc theo trạng thái Chưa khám</t>
  </si>
  <si>
    <t>Có giấy ở trạng thái Chưa khám</t>
  </si>
  <si>
    <t>1. Chọn Chưa khám
2. Nhấn Tìm kiếm</t>
  </si>
  <si>
    <t>Chỉ hiển thị giấy có trạng thái Chưa khám</t>
  </si>
  <si>
    <t>BMH-T220</t>
  </si>
  <si>
    <t>TC-QL-POS-007 - Lọc theo trạng thái Đang khám</t>
  </si>
  <si>
    <t>Có giấy ở trạng thái Đang khám</t>
  </si>
  <si>
    <t>1. Chọn Đang khám
2. Nhấn Tìm kiếm</t>
  </si>
  <si>
    <t>Chỉ hiển thị giấy có trạng thái Đang khám</t>
  </si>
  <si>
    <t>BMH-T221</t>
  </si>
  <si>
    <t>TC-QL-POS-008 - Lọc theo trạng thái Đã khám</t>
  </si>
  <si>
    <t>Có giấy ở trạng thái Đã khám</t>
  </si>
  <si>
    <t>1. Chọn Đã khám
2. Nhấn Tìm kiếm</t>
  </si>
  <si>
    <t>Chỉ hiển thị giấy có trạng thái Đã khám</t>
  </si>
  <si>
    <t>BMH-T226</t>
  </si>
  <si>
    <t>TC-QL-POS-013 - Hành động hiển thị cho giấy trạng thái Chưa khám</t>
  </si>
  <si>
    <t>Có giấy Chưa khám</t>
  </si>
  <si>
    <t>1. Quan sát cột Hành động của giấy Chưa khám</t>
  </si>
  <si>
    <t>Hiển thị đủ 6 biểu tượng: xem hồ sơ, in, bắt đầu khám, biểu tượng lịch, sửa, xóa</t>
  </si>
  <si>
    <t>BMH-T227</t>
  </si>
  <si>
    <t>TC-QL-POS-014 - Hành động hiển thị cho giấy trạng thái Đã khám</t>
  </si>
  <si>
    <t>Có giấy Đã khám</t>
  </si>
  <si>
    <t>1. Quan sát cột Hành động của giấy Đã khám</t>
  </si>
  <si>
    <t>Chỉ hiển thị 3 biểu tượng: xem hồ sơ, in, biểu tượng lịch; không có sửa, xóa, bắt đầu khám</t>
  </si>
  <si>
    <t>BMH-T228</t>
  </si>
  <si>
    <t>TC-QL-POS-015 - Mở màn hình Thêm giấy khám bệnh từ danh sách</t>
  </si>
  <si>
    <t>1. Nhấn nút Thêm giấy khám bệnh</t>
  </si>
  <si>
    <t>Chuyển sang màn hình Thêm giấy khám bệnh</t>
  </si>
  <si>
    <t>BMH-T229</t>
  </si>
  <si>
    <t>TC-QL-POS-016 - Mở chức năng chỉnh sửa giấy khám</t>
  </si>
  <si>
    <t>1. Nhấn biểu tượng sửa tại một dòng</t>
  </si>
  <si>
    <t>Mở biểu mẫu chỉnh sửa với thông tin hiện tại của giấy đã chọn</t>
  </si>
  <si>
    <t>BMH-T230</t>
  </si>
  <si>
    <t>TC-QL-POS-017 - Cập nhật giấy khám với thông tin hợp lệ</t>
  </si>
  <si>
    <t>1. Mở chỉnh sửa
2. Đổi một thông tin hợp lệ
3. Lưu
4. Kiểm tra danh sách</t>
  </si>
  <si>
    <t>Cập nhật thành công, dữ liệu mới hiển thị đúng, dữ liệu khác giữ nguyên</t>
  </si>
  <si>
    <t>BMH-T231</t>
  </si>
  <si>
    <t>TC-QL-POS-018 - Xóa giấy khám bệnh</t>
  </si>
  <si>
    <t>Có giấy thử nghiệm Chưa khám</t>
  </si>
  <si>
    <t>1. Nhấn biểu tượng xóa
2. Chọn đồng ý ở hộp thoại xác nhận
3. Kiểm tra danh sách</t>
  </si>
  <si>
    <t>Giấy bị xóa (hoặc chuyển trạng thái theo nghiệp vụ), có thông báo, danh sách cập nhật</t>
  </si>
  <si>
    <t>BMH-T232</t>
  </si>
  <si>
    <t>TC-QL-POS-019 - Bắt đầu khám từ danh sách</t>
  </si>
  <si>
    <t>1. Nhấn biểu tượng bắt đầu khám</t>
  </si>
  <si>
    <t>Thực hiện đúng chức năng bắt đầu khám theo thiết kế, trạng thái cập nhật tương ứng</t>
  </si>
  <si>
    <t>BMH-T233</t>
  </si>
  <si>
    <t>TC-QL-POS-020 - In giấy khám bệnh</t>
  </si>
  <si>
    <t>Có giấy khám</t>
  </si>
  <si>
    <t>1. Nhấn biểu tượng in</t>
  </si>
  <si>
    <t>Mở bản in/xem trước với thông tin giấy khám đúng</t>
  </si>
  <si>
    <t>BMH-T234</t>
  </si>
  <si>
    <t>TC-QL-POS-021 - Xem hồ sơ/chi tiết từ biểu tượng người dùng</t>
  </si>
  <si>
    <t>Low</t>
  </si>
  <si>
    <t>1. Nhấn biểu tượng hồ sơ</t>
  </si>
  <si>
    <t>Hiển thị đúng thông tin của giấy/bệnh nhân được chọn</t>
  </si>
  <si>
    <t>BMH-T235</t>
  </si>
  <si>
    <t>TC-QL-NEG-001 - Tìm kiếm bằng tên bệnh nhân không tồn tại</t>
  </si>
  <si>
    <t>1. Nhập tên không có trong dữ liệu
2. Nhấn Tìm kiếm</t>
  </si>
  <si>
    <t>Danh sách rỗng hoặc thông báo không có kết quả; không phát sinh lỗi</t>
  </si>
  <si>
    <t>BMH-T237</t>
  </si>
  <si>
    <t>TC-QL-NEG-003 - Tìm kiếm với ký tự đặc biệt</t>
  </si>
  <si>
    <t>1. Nhập ký tự đặc biệt (vd %, ', )
2. Nhấn Tìm kiếm</t>
  </si>
  <si>
    <t>Bước 1: %, ',</t>
  </si>
  <si>
    <t>Hệ thống xử lý an toàn, không lỗi, không thực thi script; trả về kết quả rỗng hoặc đúng quy tắc</t>
  </si>
  <si>
    <t>BMH-T238</t>
  </si>
  <si>
    <t>TC-QL-NEG-004 - Tìm kiếm với khoảng ngày không hợp lệ</t>
  </si>
  <si>
    <t>Đã xác minh ý nghĩa của 2 ô ngày</t>
  </si>
  <si>
    <t>1. Chọn ngày bắt đầu lớn hơn ngày kết thúc
2. Nhấn Tìm kiếm</t>
  </si>
  <si>
    <t>Hệ thống cảnh báo và không tìm kiếm theo khoảng sai (hoặc trả rỗng theo quy tắc nghiệp vụ)</t>
  </si>
  <si>
    <t>BMH-T239</t>
  </si>
  <si>
    <t>TC-QL-NEG-005 - Kết hợp bộ lọc không có dữ liệu phù hợp</t>
  </si>
  <si>
    <t>1. Chọn Trạng thái và Thanh toán sao cho không có bản ghi (vd Đang khám + Chưa thanh toán)
2. Nhấn Tìm kiếm</t>
  </si>
  <si>
    <t>Bước 1: Đang khám + Chưa thanh toán</t>
  </si>
  <si>
    <t>Hiển thị danh sách rỗng đúng thiết kế, không lỗi</t>
  </si>
  <si>
    <t>BMH-T241</t>
  </si>
  <si>
    <t>TC-QL-NEG-007 - Giấy đã khám không cho sửa/xóa</t>
  </si>
  <si>
    <t>1. Quan sát cột Hành động của giấy Đã khám
2. Thử truy cập chỉnh sửa/xóa (nếu có cách)</t>
  </si>
  <si>
    <t>Không có biểu tượng sửa/xóa; không thể chỉnh sửa hay xóa giấy đã khám</t>
  </si>
  <si>
    <t>BMH-T242</t>
  </si>
  <si>
    <t>TC-QL-NEG-008 - Cập nhật giấy khám khi bỏ trống trường bắt buộc</t>
  </si>
  <si>
    <t>1. Mở chỉnh sửa
2. Xóa trống một trường bắt buộc
3. Nhấn Lưu</t>
  </si>
  <si>
    <t>Không lưu, hiển thị cảnh báo yêu cầu bổ sung thông tin</t>
  </si>
  <si>
    <t>BMH-T243</t>
  </si>
  <si>
    <t>TC-ADD-POS-001 - Hiển thị màn hình Thêm giấy khám bệnh</t>
  </si>
  <si>
    <t>Đã đăng nhập</t>
  </si>
  <si>
    <t>1. Danh sách &gt; nhấn Thêm giấy khám bệnh</t>
  </si>
  <si>
    <t>Hiển thị đủ: Dịch vụ khám*, Giá dịch vụ, Phòng khám*, Tên bệnh nhân*, Thẻ BHYT, Bác sĩ, Ngày đăng ký*, Thời gian khám thực tế*, nút Lưu lại, Quay lại</t>
  </si>
  <si>
    <t>BMH-T244</t>
  </si>
  <si>
    <t>TC-ADD-POS-002 - Thêm giấy khám với đầy đủ thông tin hợp lệ</t>
  </si>
  <si>
    <t>Có dịch vụ, phòng khám, bệnh nhân, bác sĩ</t>
  </si>
  <si>
    <t>1. Chọn Dịch vụ khám
2. Chọn Phòng khám
3. Chọn Bệnh nhân
4. Chọn Bác sĩ
5. Chọn Ngày đăng ký
6. Chọn Thời gian khám thực tế
7. Nhấn Lưu lại</t>
  </si>
  <si>
    <t>Lưu thành công, có thông báo; giấy mới xuất hiện trong danh sách với thông tin đã nhập</t>
  </si>
  <si>
    <t>BMH-T247</t>
  </si>
  <si>
    <t>TC-ADD-POS-005 - Chọn Phòng khám</t>
  </si>
  <si>
    <t>Có phòng khám</t>
  </si>
  <si>
    <t>1. Mở dropdown Chọn phòng khám
2. Chọn một phòng</t>
  </si>
  <si>
    <t>Phòng khám đã chọn hiển thị trên trường</t>
  </si>
  <si>
    <t>BMH-T249</t>
  </si>
  <si>
    <t>TC-ADD-POS-007 - Tích chọn Thẻ BHYT</t>
  </si>
  <si>
    <t>Đang ở màn hình Thêm</t>
  </si>
  <si>
    <t>1. Tích ô Thẻ BHYT</t>
  </si>
  <si>
    <t>Ô được chọn; trạng thái BHYT được ghi nhận khi lưu</t>
  </si>
  <si>
    <t>BMH-T250</t>
  </si>
  <si>
    <t>TC-ADD-POS-008 - Trạng thái mặc định của Thẻ BHYT</t>
  </si>
  <si>
    <t>1. Quan sát ô Thẻ BHYT khi mới mở</t>
  </si>
  <si>
    <t>Mặc định không được tích</t>
  </si>
  <si>
    <t>BMH-T251</t>
  </si>
  <si>
    <t>TC-ADD-POS-009 - Chọn Bác sĩ</t>
  </si>
  <si>
    <t>Có bác sĩ</t>
  </si>
  <si>
    <t>1. Mở dropdown Chọn bác sĩ
2. Chọn một bác sĩ</t>
  </si>
  <si>
    <t>Bác sĩ đã chọn hiển thị trên trường</t>
  </si>
  <si>
    <t>BMH-T252</t>
  </si>
  <si>
    <t>TC-ADD-POS-010 - Chọn Ngày đăng ký bằng bộ chọn ngày</t>
  </si>
  <si>
    <t>1. Nhấn biểu tượng lịch
2. Chọn một ngày</t>
  </si>
  <si>
    <t>Ngày hiển thị đúng định dạng trong trường Ngày đăng ký</t>
  </si>
  <si>
    <t>BMH-T253</t>
  </si>
  <si>
    <t>TC-ADD-POS-011 - Chọn Thời gian khám thực tế bằng bộ chọn ngày</t>
  </si>
  <si>
    <t>Ngày hiển thị đúng trong trường Thời gian khám thực tế</t>
  </si>
  <si>
    <t>BMH-T254</t>
  </si>
  <si>
    <t>TC-ADD-POS-012 - Quay lại không lưu dữ liệu</t>
  </si>
  <si>
    <t>1. Nhập một số thông tin
2. Nhấn Quay lại</t>
  </si>
  <si>
    <t>Quay về danh sách; không tạo giấy khám mới từ dữ liệu chưa lưu</t>
  </si>
  <si>
    <t>BMH-T255</t>
  </si>
  <si>
    <t>TC-ADD-NEG-001 - Thiếu Dịch vụ khám</t>
  </si>
  <si>
    <t>1. Bỏ trống Dịch vụ khám, điền các trường bắt buộc còn lại
2. Nhấn Lưu lại</t>
  </si>
  <si>
    <t>Không lưu; cảnh báo yêu cầu chọn Dịch vụ khám</t>
  </si>
  <si>
    <t>BMH-T256</t>
  </si>
  <si>
    <t>TC-ADD-NEG-002 - Thiếu Phòng khám</t>
  </si>
  <si>
    <t>1. Bỏ trống Phòng khám, điền các trường còn lại
2. Nhấn Lưu lại</t>
  </si>
  <si>
    <t>Không lưu; cảnh báo yêu cầu chọn Phòng khám</t>
  </si>
  <si>
    <t>BMH-T257</t>
  </si>
  <si>
    <t>TC-ADD-NEG-003 - Thiếu Tên bệnh nhân</t>
  </si>
  <si>
    <t>1. Bỏ trống Tên bệnh nhân, điền các trường còn lại
2. Nhấn Lưu lại</t>
  </si>
  <si>
    <t>Không lưu; cảnh báo yêu cầu chọn bệnh nhân</t>
  </si>
  <si>
    <t>BMH-T258</t>
  </si>
  <si>
    <t>TC-ADD-NEG-004 - Thiếu Ngày đăng ký</t>
  </si>
  <si>
    <t>1. Bỏ trống Ngày đăng ký, điền các trường còn lại
2. Nhấn Lưu lại</t>
  </si>
  <si>
    <t>Không lưu; cảnh báo yêu cầu chọn Ngày đăng ký</t>
  </si>
  <si>
    <t>BMH-T259</t>
  </si>
  <si>
    <t>TC-ADD-NEG-005 - Thiếu Thời gian khám thực tế</t>
  </si>
  <si>
    <t>1. Bỏ trống Thời gian khám thực tế, điền các trường còn lại
2. Nhấn Lưu lại</t>
  </si>
  <si>
    <t>Không lưu; cảnh báo yêu cầu chọn Thời gian khám thực tế</t>
  </si>
  <si>
    <t>BMH-T260</t>
  </si>
  <si>
    <t>TC-ADD-NEG-006 - Bỏ trống toàn bộ trường bắt buộc</t>
  </si>
  <si>
    <t>1. Không nhập gì
2. Nhấn Lưu lại</t>
  </si>
  <si>
    <t>Không tạo giấy khám; cảnh báo ở tất cả trường bắt buộc; không lỗi hệ thống</t>
  </si>
  <si>
    <t>BMH-T261</t>
  </si>
  <si>
    <t>TC-ADD-NEG-007 - Thời gian khám thực tế trước Ngày đăng ký</t>
  </si>
  <si>
    <t>Đã xác minh quy tắc nghiệp vụ</t>
  </si>
  <si>
    <t>1. Chọn Ngày đăng ký là ngày sau
2. Chọn Thời gian khám thực tế là ngày trước đó
3. Nhấn Lưu lại</t>
  </si>
  <si>
    <t>Nếu nghiệp vụ yêu cầu khám sau đăng ký, hệ thống từ chối và thông báo; nếu không, đánh giá theo yêu cầu thực tế</t>
  </si>
  <si>
    <t>BMH-T262</t>
  </si>
  <si>
    <t>TC-ADD-NEG-008 - Ngày đăng ký trong quá khứ</t>
  </si>
  <si>
    <t>1. Chọn Ngày đăng ký là ngày quá khứ
2. Điền các trường còn lại
3. Nhấn Lưu lại</t>
  </si>
  <si>
    <t>Nếu nghiệp vụ không cho phép, hệ thống từ chối và thông báo; nếu cho phép nhập lịch cũ, đánh giá theo yêu cầu thực tế</t>
  </si>
  <si>
    <t>BMH-T263</t>
  </si>
  <si>
    <t>TC-ADD-NEG-009 - Nhấn Lưu lại nhiều lần liên tiếp</t>
  </si>
  <si>
    <t>Đã điền đủ thông tin hợp lệ</t>
  </si>
  <si>
    <t>1. Nhấn Lưu lại 2 lần liên tiếp nhanh</t>
  </si>
  <si>
    <t>Chỉ tạo 1 giấy khám; không sinh bản ghi trùng</t>
  </si>
  <si>
    <t>BMH-T264</t>
  </si>
  <si>
    <t>TC-ADD-NEG-010 - Tạo giấy khám trùng thông tin</t>
  </si>
  <si>
    <t>Có giấy khám tồn tại; đã xác minh quy tắc chống trùng</t>
  </si>
  <si>
    <t>1. Tạo giấy mới cùng bệnh nhân, dịch vụ, ngày đăng ký với giấy hiện có
2. Nhấn Lưu lại</t>
  </si>
  <si>
    <t>Nếu cấm trùng, hệ thống từ chối và thông báo; nếu cho phép, đánh giá theo quy tắc thực tế</t>
  </si>
  <si>
    <t>BMH-T380</t>
  </si>
  <si>
    <t>Thêm bệnh nhân khi bỏ trống tất cả các trường</t>
  </si>
  <si>
    <t>1. Mở form thêm bệnh nhân.
2. Để trống tất cả các trường
3. Lưu.</t>
  </si>
  <si>
    <t>BMH-T381</t>
  </si>
  <si>
    <t>Xóa thông tin bệnh nhân</t>
  </si>
  <si>
    <t>1. Tìm hồ sơ.
2. Chọn Xóa</t>
  </si>
  <si>
    <t>Hiển thị thông báo xóa bệnh nhân thành công</t>
  </si>
  <si>
    <t>BMH-T382</t>
  </si>
  <si>
    <t>Quản lý danh sách thuốc</t>
  </si>
  <si>
    <t>TC-THUOC-QL-POS-001 - Hiển thị danh sách thuốc</t>
  </si>
  <si>
    <t>Đăng nhập Admin; có dữ liệu thuốc</t>
  </si>
  <si>
    <t>1. Vào Quản lý &gt; Danh sách thuốc</t>
  </si>
  <si>
    <t>Hiển thị các cột STT, Mã, Tên thuốc, Loại thuốc, Giá (VND), Đơn vị tính, Mô tả, Hành động; có ô tìm kiếm, nút Tìm kiếm và Thêm thuốc</t>
  </si>
  <si>
    <t>BMH-T383</t>
  </si>
  <si>
    <t>TC-THUOC-QL-POS-002 - Kiểm tra dữ liệu hiển thị của một thuốc</t>
  </si>
  <si>
    <t>Đăng nhập Admin; Có ít nhất 1 thuốc</t>
  </si>
  <si>
    <t>Mã, tên, loại, giá, đơn vị tính khớp dữ liệu thực tế</t>
  </si>
  <si>
    <t>BMH-T384</t>
  </si>
  <si>
    <t>TC-THUOC-QL-POS-003 - Kiểm tra thứ tự sắp xếp danh sách</t>
  </si>
  <si>
    <t>Đăng nhập Admin; Có nhiều thuốc</t>
  </si>
  <si>
    <t>1. Mở danh sách
2. Quan sát thứ tự các dòng</t>
  </si>
  <si>
    <t>Danh sách sắp xếp thống nhất (hiện thấy mã giảm dần, T000045 ở đầu)</t>
  </si>
  <si>
    <t>BMH-T385</t>
  </si>
  <si>
    <t>TC-THUOC-QL-POS-004 - Tìm kiếm theo tên thuốc đầy đủ</t>
  </si>
  <si>
    <t>Đăng nhập Admin; Có thuốc tên xác định (vd Cetirizine 10mg)</t>
  </si>
  <si>
    <t>1. Nhập tên đầy đủ vào ô tìm kiếm
2. Nhấn Tìm kiếm</t>
  </si>
  <si>
    <t>Chỉ hiển thị thuốc có tên phù hợp</t>
  </si>
  <si>
    <t>BMH-T386</t>
  </si>
  <si>
    <t>TC-THUOC-QL-POS-005 - Tìm kiếm theo một phần tên thuốc</t>
  </si>
  <si>
    <t>Đăng nhập Admin; Có nhiều thuốc cùng gốc tên (vd Vitamin)</t>
  </si>
  <si>
    <t>1. Nhập "Vitamin"
2. Nhấn Tìm kiếm</t>
  </si>
  <si>
    <t>Bước 1: Vitamin</t>
  </si>
  <si>
    <t>Hiển thị tất cả thuốc có tên chứa từ khóa</t>
  </si>
  <si>
    <t>BMH-T387</t>
  </si>
  <si>
    <t>TC-THUOC-QL-POS-006 - Tìm kiếm không phân biệt hoa thường</t>
  </si>
  <si>
    <t>Đăng nhập Admin; Có thuốc tên xác định</t>
  </si>
  <si>
    <t>1. Nhập tên viết thường hoặc viết hoa toàn bộ
2. Nhấn Tìm kiếm</t>
  </si>
  <si>
    <t>Kết quả giống nhau dù viết hoa hay thường</t>
  </si>
  <si>
    <t>BMH-T388</t>
  </si>
  <si>
    <t>TC-THUOC-QL-POS-007 - Tìm kiếm bằng phím Enter</t>
  </si>
  <si>
    <t>1. Nhập tên thuốc
2. Nhấn Enter</t>
  </si>
  <si>
    <t>Hệ thống tìm kiếm giống khi nhấn nút Tìm kiếm</t>
  </si>
  <si>
    <t>BMH-T389</t>
  </si>
  <si>
    <t>TC-THUOC-QL-POS-008 - Xóa từ khóa để hiển thị lại toàn bộ danh sách</t>
  </si>
  <si>
    <t>Đăng nhập Admin; Đã tìm kiếm một từ khóa</t>
  </si>
  <si>
    <t>1. Xóa nội dung ô tìm kiếm
2. Nhấn Tìm kiếm</t>
  </si>
  <si>
    <t>Danh sách hiển thị lại đầy đủ các thuốc</t>
  </si>
  <si>
    <t>BMH-T390</t>
  </si>
  <si>
    <t>TC-THUOC-QL-POS-009 - Kiểm tra định dạng cột Giá (VND)</t>
  </si>
  <si>
    <t>Đăng nhập Admin; Có thuốc giá từ 1.000 trở lên</t>
  </si>
  <si>
    <t>1. Quan sát cột Giá (VND)</t>
  </si>
  <si>
    <t>Giá có dấu phân cách hàng nghìn (vd 1.200, 6.000) và khớp giá đã lưu</t>
  </si>
  <si>
    <t>BMH-T391</t>
  </si>
  <si>
    <t>TC-THUOC-QL-POS-010 - Mở mô tả thuốc bằng nút Xem</t>
  </si>
  <si>
    <t>Đăng nhập Admin; Có thuốc có mô tả</t>
  </si>
  <si>
    <t>1. Nhấn nút Xem ở một dòng</t>
  </si>
  <si>
    <t>Hộp thoại "Mô tả" hiển thị với nội dung mô tả của thuốc</t>
  </si>
  <si>
    <t>BMH-T392</t>
  </si>
  <si>
    <t>TC-THUOC-QL-POS-011 - Nội dung mô tả khớp với thuốc đã chọn</t>
  </si>
  <si>
    <t>Đăng nhập Admin; Có ít nhất 2 thuốc mô tả khác nhau</t>
  </si>
  <si>
    <t>1. Nhấn Xem ở thuốc A
2. Đóng hộp thoại
3. Nhấn Xem ở thuốc B</t>
  </si>
  <si>
    <t>Mỗi lần hiển thị đúng mô tả của thuốc tương ứng</t>
  </si>
  <si>
    <t>BMH-T393</t>
  </si>
  <si>
    <t>TC-THUOC-QL-POS-012 - Đóng hộp thoại mô tả</t>
  </si>
  <si>
    <t>Đăng nhập Admin; Đang mở hộp thoại mô tả</t>
  </si>
  <si>
    <t>1. Nhấn nút Close
2. Mở lại hộp thoại
3. Nhấn biểu tượng X ở góc</t>
  </si>
  <si>
    <t>Cả hai cách đều đóng hộp thoại và quay lại danh sách</t>
  </si>
  <si>
    <t>BMH-T394</t>
  </si>
  <si>
    <t>TC-THUOC-QL-POS-013 - Mở màn hình Thêm thuốc từ danh sách</t>
  </si>
  <si>
    <t>Đăng nhập Admin; Đang ở danh sách</t>
  </si>
  <si>
    <t>1. Nhấn nút Thêm thuốc</t>
  </si>
  <si>
    <t>Chuyển sang màn hình Thêm thuốc</t>
  </si>
  <si>
    <t>BMH-T395</t>
  </si>
  <si>
    <t>TC-THUOC-QL-POS-014 - Mở chức năng chỉnh sửa thuốc</t>
  </si>
  <si>
    <t>Đăng nhập Admin; Có thuốc trong danh sách</t>
  </si>
  <si>
    <t>Mở màn hình Cập nhật thuốc, các trường Tên thuốc, Loại thuốc, Giá, Đơn vị tính và Mô tả hiển thị đúng dữ liệu hiện tại; bố cục nhất quán với màn hình Thêm</t>
  </si>
  <si>
    <t>BMH-T396</t>
  </si>
  <si>
    <t>TC-THUOC-QL-POS-015 - Cập nhật Tên thuốc hợp lệ</t>
  </si>
  <si>
    <t>Đăng nhập Admin; Có thuốc thử nghiệm</t>
  </si>
  <si>
    <t>1. Mở chỉnh sửa
2. Đổi Tên thuốc
3. Lưu
4. Kiểm tra danh sách</t>
  </si>
  <si>
    <t>Cập nhật thành công, tên mới hiển thị đúng, dữ liệu khác giữ nguyên</t>
  </si>
  <si>
    <t>BMH-T397</t>
  </si>
  <si>
    <t>TC-THUOC-QL-POS-016 - Cập nhật Loại thuốc</t>
  </si>
  <si>
    <t>1. Mở chỉnh sửa
2. Chọn loại thuốc khác
3. Lưu
4. Kiểm tra danh sách</t>
  </si>
  <si>
    <t>Loại thuốc mới hiển thị đúng trong danh sách</t>
  </si>
  <si>
    <t>BMH-T398</t>
  </si>
  <si>
    <t>TC-THUOC-QL-POS-017 - Cập nhật Giá hợp lệ</t>
  </si>
  <si>
    <t>1. Mở chỉnh sửa
2. Đổi Giá thành số nguyên dương hợp lệ
3. Lưu
4. Kiểm tra danh sách</t>
  </si>
  <si>
    <t>Giá mới hiển thị đúng với dấu phân cách hàng nghìn</t>
  </si>
  <si>
    <t>BMH-T399</t>
  </si>
  <si>
    <t>TC-THUOC-QL-POS-018 - Cập nhật Đơn vị tính</t>
  </si>
  <si>
    <t>1. Mở chỉnh sửa
2. Đổi Đơn vị tính (vd Viên → Hộp)
3. Lưu
4. Kiểm tra danh sách</t>
  </si>
  <si>
    <t>Bước 2: Viên → Hộp</t>
  </si>
  <si>
    <t>Đơn vị tính mới hiển thị đúng</t>
  </si>
  <si>
    <t>BMH-T400</t>
  </si>
  <si>
    <t>TC-THUOC-QL-POS-019 - Cập nhật Mô tả</t>
  </si>
  <si>
    <t>1. Mở chỉnh sửa
2. Sửa nội dung Mô tả
3. Lưu
4. Nhấn Xem ở dòng đó</t>
  </si>
  <si>
    <t>Hộp thoại hiển thị mô tả mới</t>
  </si>
  <si>
    <t>BMH-T401</t>
  </si>
  <si>
    <t>TC-THUOC-QL-POS-020 - Lưu khi không thay đổi thông tin nào</t>
  </si>
  <si>
    <t>1. Mở chỉnh sửa
2. Không sửa gì
3. Nhấn Lưu
4. Kiểm tra danh sách</t>
  </si>
  <si>
    <t>Lưu thành công hoặc báo không có thay đổi; dữ liệu thuốc giữ nguyên, không lỗi</t>
  </si>
  <si>
    <t>BMH-T402</t>
  </si>
  <si>
    <t>TC-THUOC-QL-POS-021 - Quay lại từ màn hình Cập nhật mà không lưu</t>
  </si>
  <si>
    <t>Đăng nhập Admin; Đang ở màn hình Cập nhật</t>
  </si>
  <si>
    <t>1. Sửa một thông tin
2. Nhấn Quay lại
3. Kiểm tra danh sách</t>
  </si>
  <si>
    <t>Quay về danh sách; dữ liệu thuốc không bị thay đổi</t>
  </si>
  <si>
    <t>BMH-T403</t>
  </si>
  <si>
    <t>TC-THUOC-QL-POS-022 - Xóa thuốc</t>
  </si>
  <si>
    <t>Đăng nhập Admin; Có thuốc thử nghiệm chưa dùng trong đơn</t>
  </si>
  <si>
    <t>Thuốc bị xóa (hoặc ngừng sử dụng theo nghiệp vụ), có thông báo, danh sách cập nhật</t>
  </si>
  <si>
    <t>BMH-T404</t>
  </si>
  <si>
    <t>TC-THUOC-QL-POS-023 - Phân trang danh sách thuốc</t>
  </si>
  <si>
    <t>Đăng nhập Admin; Có nhiều hơn 10 thuốc</t>
  </si>
  <si>
    <t>1. Cuộn xuống cuối danh sách
2. Chuyển sang trang tiếp theo</t>
  </si>
  <si>
    <t>Danh sách chuyển trang đúng; STT và dữ liệu mỗi trang hiển thị chính xác</t>
  </si>
  <si>
    <t>BMH-T405</t>
  </si>
  <si>
    <t>TC-THUOC-QL-NEG-001 - Tìm kiếm bằng tên thuốc không tồn tại</t>
  </si>
  <si>
    <t>1. Nhập tên không có trong dữ liệu (vd "zzzxxx")
2. Nhấn Tìm kiếm</t>
  </si>
  <si>
    <t>Bước 1: zzzxxx</t>
  </si>
  <si>
    <t>BMH-T406</t>
  </si>
  <si>
    <t>TC-THUOC-QL-NEG-002 - Tìm kiếm với ký tự đặc biệt</t>
  </si>
  <si>
    <t>BMH-T407</t>
  </si>
  <si>
    <t>TC-THUOC-QL-NEG-003 - Tìm kiếm chỉ với khoảng trắng</t>
  </si>
  <si>
    <t>1. Nhập vài ký tự khoảng trắng
2. Nhấn Tìm kiếm</t>
  </si>
  <si>
    <t>Hệ thống bỏ qua khoảng trắng và hiển thị danh sách như khi để trống, hoặc thông báo phù hợp; không lỗi</t>
  </si>
  <si>
    <t>BMH-T409</t>
  </si>
  <si>
    <t>TC-THUOC-QL-NEG-005 - Tìm kiếm có khoảng trắng đầu và cuối</t>
  </si>
  <si>
    <t>1. Nhập tên thuốc kèm khoảng trắng ở đầu và cuối
2. Nhấn Tìm kiếm</t>
  </si>
  <si>
    <t>Hệ thống bỏ khoảng trắng thừa và vẫn tìm thấy thuốc</t>
  </si>
  <si>
    <t>BMH-T410</t>
  </si>
  <si>
    <t>TC-THUOC-QL-NEG-006 - Cập nhật khi bỏ trống Tên thuốc</t>
  </si>
  <si>
    <t>1. Mở chỉnh sửa
2. Xóa trống Tên thuốc
3. Nhấn Lưu</t>
  </si>
  <si>
    <t>Không lưu; cảnh báo yêu cầu nhập Tên thuốc</t>
  </si>
  <si>
    <t>BMH-T411</t>
  </si>
  <si>
    <t>TC-THUOC-QL-NEG-007 - Cập nhật khi bỏ trống Giá</t>
  </si>
  <si>
    <t>1. Mở chỉnh sửa
2. Xóa trống Giá
3. Nhấn Lưu</t>
  </si>
  <si>
    <t>Không lưu; cảnh báo yêu cầu nhập Giá</t>
  </si>
  <si>
    <t>BMH-T412</t>
  </si>
  <si>
    <t>TC-THUOC-QL-NEG-008 - Cập nhật khi bỏ trống Đơn vị tính</t>
  </si>
  <si>
    <t>1. Mở chỉnh sửa
2. Xóa trống Đơn vị tính
3. Nhấn Lưu</t>
  </si>
  <si>
    <t>Không lưu; cảnh báo yêu cầu nhập Đơn vị tính</t>
  </si>
  <si>
    <t>BMH-T414</t>
  </si>
  <si>
    <t>TC-THUOC-QL-NEG-010 - Cập nhật Giá không phải số</t>
  </si>
  <si>
    <t>1. Mở chỉnh sửa
2. Nhập chữ hoặc ký tự đặc biệt vào Giá (vd "abc")
3. Nhấn Lưu</t>
  </si>
  <si>
    <t>Bước 2: abc</t>
  </si>
  <si>
    <t>Hệ thống không chấp nhận, hiển thị cảnh báo hoặc chặn nhập</t>
  </si>
  <si>
    <t>BMH-T415</t>
  </si>
  <si>
    <t>TC-THUOC-QL-NEG-011 - Cập nhật Tên thuốc trùng với thuốc đã có</t>
  </si>
  <si>
    <t>Đăng nhập Admin; Có ít nhất 2 thuốc</t>
  </si>
  <si>
    <t>1. Mở chỉnh sửa thuốc A
2. Đổi tên thành tên của thuốc B
3. Nhấn Lưu</t>
  </si>
  <si>
    <t>Nếu cấm trùng tên, hệ thống từ chối và thông báo; nếu cho phép, đánh giá theo quy tắc thực tế</t>
  </si>
  <si>
    <t>BMH-T419</t>
  </si>
  <si>
    <t>TC-THUOC-QL-NEG-015 - Nhấn Xem khi thuốc không có mô tả</t>
  </si>
  <si>
    <t>Đăng nhập Admin; Có thuốc để trống Mô tả</t>
  </si>
  <si>
    <t>1. Nhấn nút Xem ở thuốc đó</t>
  </si>
  <si>
    <t>Hộp thoại mở với nội dung trống hoặc thông báo phù hợp; không lỗi, không hiển thị "null" hay "undefined"</t>
  </si>
  <si>
    <t>BMH-T420</t>
  </si>
  <si>
    <t>Thêm thuốc</t>
  </si>
  <si>
    <t>TC-THUOC-ADD-POS-001 - Hiển thị màn hình Thêm thuốc</t>
  </si>
  <si>
    <t>Đăng nhập Admin</t>
  </si>
  <si>
    <t>1. Danh sách &gt; nhấn Thêm thuốc
2. Cuộn xuống cuối trang</t>
  </si>
  <si>
    <t>Hiển thị đủ Tên thuốc*, Loại thuốc*, Giá*, Đơn vị tính*, khung Mô tả có thanh công cụ; các trường đều trống; có nút Lưu lại và Quay lại ở cuối trang</t>
  </si>
  <si>
    <t>BMH-T422</t>
  </si>
  <si>
    <t>TC-THUOC-ADD-POS-003 - Thêm thuốc với đầy đủ thông tin hợp lệ</t>
  </si>
  <si>
    <t>Đăng nhập Admin; Có loại thuốc trong hệ thống</t>
  </si>
  <si>
    <t>1. Nhập Tên thuốc
2. Chọn Loại thuốc
3. Nhập Giá hợp lệ
4. Nhập Đơn vị tính
5. Nhập Mô tả
6. Nhấn Lưu lại</t>
  </si>
  <si>
    <t>Lưu thành công, có thông báo; thuốc mới xuất hiện trong danh sách với thông tin đã nhập</t>
  </si>
  <si>
    <t>BMH-T423</t>
  </si>
  <si>
    <t>TC-THUOC-ADD-POS-004 - Thêm thuốc chỉ với các trường bắt buộc</t>
  </si>
  <si>
    <t>1. Điền 4 trường bắt buộc, bỏ trống Mô tả
2. Nhấn Lưu lại</t>
  </si>
  <si>
    <t>Lưu thành công, không yêu cầu Mô tả</t>
  </si>
  <si>
    <t>BMH-T424</t>
  </si>
  <si>
    <t>TC-THUOC-ADD-POS-005 - Kiểm tra danh sách Loại thuốc</t>
  </si>
  <si>
    <t>Đăng nhập Admin; Có nhiều loại thuốc</t>
  </si>
  <si>
    <t>1. Mở dropdown Loại thuốc
2. Chọn một loại</t>
  </si>
  <si>
    <t>Hiển thị đầy đủ các loại (vd Thuốc dị ứng, Thuốc vitamin); loại đã chọn hiển thị trên trường</t>
  </si>
  <si>
    <t>BMH-T425</t>
  </si>
  <si>
    <t>TC-THUOC-ADD-POS-006 - Nhập Tên thuốc có hàm lượng</t>
  </si>
  <si>
    <t>Đăng nhập Admin; Đang ở màn hình Thêm</t>
  </si>
  <si>
    <t>1. Nhập tên có số và đơn vị (vd "Paracetamol 500mg")
2. Điền các trường còn lại
3. Lưu</t>
  </si>
  <si>
    <t>Bước 1: Paracetamol 500mg</t>
  </si>
  <si>
    <t>Lưu thành công; tên hiển thị đúng trong danh sách</t>
  </si>
  <si>
    <t>BMH-T426</t>
  </si>
  <si>
    <t>TC-THUOC-ADD-POS-007 - Nhập Tên thuốc có dấu tiếng Việt</t>
  </si>
  <si>
    <t>1. Nhập tên có dấu (vd "Thuốc ho Bổ phế")
2. Điền các trường còn lại
3. Lưu</t>
  </si>
  <si>
    <t>Bước 1: Thuốc ho Bổ phế</t>
  </si>
  <si>
    <t>Lưu thành công, giữ nguyên dấu tiếng Việt trong danh sách</t>
  </si>
  <si>
    <t>BMH-T427</t>
  </si>
  <si>
    <t>TC-THUOC-ADD-POS-008 - Nhập Giá hợp lệ</t>
  </si>
  <si>
    <t>1. Nhập số nguyên dương (vd 2500) vào Giá
2. Điền các trường còn lại
3. Lưu</t>
  </si>
  <si>
    <t>Bước 1: 2500</t>
  </si>
  <si>
    <t>Giá hiển thị 2.500 trong danh sách</t>
  </si>
  <si>
    <t>BMH-T428</t>
  </si>
  <si>
    <t>TC-THUOC-ADD-POS-009 - Nhập Đơn vị tính</t>
  </si>
  <si>
    <t>1. Nhập đơn vị tính (vd Viên, Chai, Hộp)
2. Điền các trường còn lại
3. Lưu</t>
  </si>
  <si>
    <t>Bước 1: Viên, Chai, Hộp</t>
  </si>
  <si>
    <t>Đơn vị tính hiển thị đúng trong danh sách</t>
  </si>
  <si>
    <t>BMH-T429</t>
  </si>
  <si>
    <t>TC-THUOC-ADD-POS-010 - Định dạng chữ trong Mô tả</t>
  </si>
  <si>
    <t>1. Nhập mô tả
2. Bôi đen chữ, nhấn In đậm (B) và Gạch chân (U)
3. Tạo danh sách gạch đầu dòng bằng thanh công cụ</t>
  </si>
  <si>
    <t>Định dạng hiển thị đúng trong trình soạn thảo</t>
  </si>
  <si>
    <t>BMH-T430</t>
  </si>
  <si>
    <t>TC-THUOC-ADD-POS-011 - Chèn liên kết vào Mô tả</t>
  </si>
  <si>
    <t>1. Nhấn biểu tượng liên kết trên thanh công cụ
2. Nhập đường dẫn hợp lệ
3. Xác nhận</t>
  </si>
  <si>
    <t>Liên kết được chèn vào mô tả đúng</t>
  </si>
  <si>
    <t>BMH-T431</t>
  </si>
  <si>
    <t>TC-THUOC-ADD-POS-012 - Chèn bảng vào Mô tả</t>
  </si>
  <si>
    <t>1. Nhấn biểu tượng bảng trên thanh công cụ
2. Chọn kích thước bảng</t>
  </si>
  <si>
    <t>Bảng được chèn vào mô tả và có thể nhập nội dung trong ô</t>
  </si>
  <si>
    <t>BMH-T432</t>
  </si>
  <si>
    <t>TC-THUOC-ADD-POS-013 - Chuyển sang chế độ mã nguồn trong Mô tả</t>
  </si>
  <si>
    <t>Đăng nhập Admin; Đã nhập mô tả có định dạng</t>
  </si>
  <si>
    <t>1. Nhấn biểu tượng &lt;/&gt;
2. Quan sát nội dung
3. Nhấn lại để quay về chế độ soạn thảo</t>
  </si>
  <si>
    <t>Hiển thị mã HTML tương ứng với nội dung; quay lại chế độ soạn thảo vẫn giữ nguyên nội dung</t>
  </si>
  <si>
    <t>BMH-T433</t>
  </si>
  <si>
    <t>TC-THUOC-ADD-POS-014 - Mô tả hiển thị đúng khi xem trong danh sách</t>
  </si>
  <si>
    <t>Đăng nhập Admin; Đã thêm thuốc có mô tả định dạng</t>
  </si>
  <si>
    <t>1. Lưu thuốc
2. Nhấn Xem ở dòng thuốc mới</t>
  </si>
  <si>
    <t>Hộp thoại hiển thị mô tả đúng nội dung và định dạng đã nhập</t>
  </si>
  <si>
    <t>BMH-T434</t>
  </si>
  <si>
    <t>TC-THUOC-ADD-POS-015 - Kiểm tra thuốc mới trong danh sách sau khi lưu</t>
  </si>
  <si>
    <t>Đăng nhập Admin; Đã thêm thuốc hợp lệ</t>
  </si>
  <si>
    <t>1. Lưu thành công
2. Mở danh sách
3. Tìm thuốc vừa tạo</t>
  </si>
  <si>
    <t>Thuốc có mã tự sinh (định dạng Txxxxxx), đúng tên, loại, giá, đơn vị tính</t>
  </si>
  <si>
    <t>BMH-T435</t>
  </si>
  <si>
    <t>TC-THUOC-ADD-POS-016 - Tìm thấy thuốc vừa thêm bằng ô tìm kiếm</t>
  </si>
  <si>
    <t>1. Nhập tên thuốc vừa thêm vào ô tìm kiếm
2. Nhấn Tìm kiếm</t>
  </si>
  <si>
    <t>Thuốc vừa thêm xuất hiện trong kết quả</t>
  </si>
  <si>
    <t>BMH-T436</t>
  </si>
  <si>
    <t>TC-THUOC-ADD-POS-017 - Mã thuốc tự sinh tăng dần và không trùng</t>
  </si>
  <si>
    <t>Đăng nhập Admin; Có thuốc mã cao nhất xác định</t>
  </si>
  <si>
    <t>1. Thêm thuốc A hợp lệ
2. Thêm thuốc B hợp lệ
3. Đối chiếu mã của hai thuốc</t>
  </si>
  <si>
    <t>Mã thuốc mới tăng liên tiếp so với mã cao nhất trước đó, không trùng mã nào</t>
  </si>
  <si>
    <t>BMH-T437</t>
  </si>
  <si>
    <t>TC-THUOC-ADD-POS-018 - Quay lại không lưu dữ liệu</t>
  </si>
  <si>
    <t>Quay về danh sách; không tạo thuốc mới từ dữ liệu chưa lưu</t>
  </si>
  <si>
    <t>BMH-T438</t>
  </si>
  <si>
    <t>TC-THUOC-ADD-NEG-001 - Thiếu Tên thuốc</t>
  </si>
  <si>
    <t>1. Bỏ trống Tên thuốc, điền các trường bắt buộc còn lại
2. Nhấn Lưu lại</t>
  </si>
  <si>
    <t>BMH-T439</t>
  </si>
  <si>
    <t>TC-THUOC-ADD-NEG-002 - Thiếu Loại thuốc</t>
  </si>
  <si>
    <t>1. Bỏ trống Loại thuốc, điền các trường còn lại
2. Nhấn Lưu lại</t>
  </si>
  <si>
    <t>Không lưu; cảnh báo yêu cầu chọn Loại thuốc</t>
  </si>
  <si>
    <t>BMH-T440</t>
  </si>
  <si>
    <t>TC-THUOC-ADD-NEG-003 - Thiếu Giá</t>
  </si>
  <si>
    <t>1. Bỏ trống Giá, điền các trường còn lại
2. Nhấn Lưu lại</t>
  </si>
  <si>
    <t>BMH-T441</t>
  </si>
  <si>
    <t>TC-THUOC-ADD-NEG-004 - Thiếu Đơn vị tính</t>
  </si>
  <si>
    <t>1. Bỏ trống Đơn vị tính, điền các trường còn lại
2. Nhấn Lưu lại</t>
  </si>
  <si>
    <t>BMH-T442</t>
  </si>
  <si>
    <t>TC-THUOC-ADD-NEG-005 - Bỏ trống toàn bộ trường bắt buộc</t>
  </si>
  <si>
    <t>Không tạo thuốc; cảnh báo ở tất cả trường bắt buộc; không lỗi hệ thống</t>
  </si>
  <si>
    <t>BMH-T443</t>
  </si>
  <si>
    <t>TC-THUOC-ADD-NEG-006 - Tên thuốc chỉ chứa khoảng trắng</t>
  </si>
  <si>
    <t>1. Nhập toàn khoảng trắng vào Tên thuốc
2. Điền các trường còn lại
3. Nhấn Lưu lại</t>
  </si>
  <si>
    <t>Hệ thống coi như trống, không lưu và cảnh báo</t>
  </si>
  <si>
    <t>BMH-T444</t>
  </si>
  <si>
    <t>TC-THUOC-ADD-NEG-007 - Giá bằng 0</t>
  </si>
  <si>
    <t>1. Nhập Giá = 0
2. Điền các trường còn lại
3. Nhấn Lưu lại</t>
  </si>
  <si>
    <t>Nếu nghiệp vụ yêu cầu giá lớn hơn 0, hệ thống từ chối và thông báo; nếu cho phép thuốc miễn phí, đánh giá theo yêu cầu thực tế</t>
  </si>
  <si>
    <t>BMH-T445</t>
  </si>
  <si>
    <t>TC-THUOC-ADD-NEG-008 - Giá là số âm</t>
  </si>
  <si>
    <t>1. Nhập Giá = -1000
2. Điền các trường còn lại
3. Nhấn Lưu lại</t>
  </si>
  <si>
    <t>Hệ thống từ chối hoặc không cho nhập số âm</t>
  </si>
  <si>
    <t>BMH-T446</t>
  </si>
  <si>
    <t>TC-THUOC-ADD-NEG-009 - Giá không phải số</t>
  </si>
  <si>
    <t>1. Nhập chữ hoặc ký tự đặc biệt (vd "abc", "@#") vào Giá
2. Nhấn Lưu lại</t>
  </si>
  <si>
    <t>Bước 1: abc
Bước 1: @#</t>
  </si>
  <si>
    <t>BMH-T447</t>
  </si>
  <si>
    <t>TC-THUOC-ADD-NEG-010 - Giá là số thập phân</t>
  </si>
  <si>
    <t>1. Nhập Giá = 1500.5 (hoặc 1500,5)
2. Điền các trường còn lại
3. Nhấn Lưu lại</t>
  </si>
  <si>
    <t>Hệ thống xử lý đúng quy tắc nghiệp vụ: từ chối hoặc làm tròn; giá hiển thị trong danh sách không sai</t>
  </si>
  <si>
    <t>BMH-T450</t>
  </si>
  <si>
    <t>TC-THUOC-ADD-NEG-013 - Đơn vị tính chỉ chứa khoảng trắng</t>
  </si>
  <si>
    <t>1. Nhập toàn khoảng trắng vào Đơn vị tính
2. Điền các trường còn lại
3. Nhấn Lưu lại</t>
  </si>
  <si>
    <t>BMH-T451</t>
  </si>
  <si>
    <t>TC-THUOC-ADD-NEG-014 - Tên thuốc chứa ký tự đặc biệt hoặc script</t>
  </si>
  <si>
    <t>1. Nhập tên chứa
2. Điền các trường còn lại
3. Nhấn Lưu lại
4. Mở danh sách</t>
  </si>
  <si>
    <t>Hệ thống xử lý an toàn, không thực thi script khi hiển thị trong danh sách</t>
  </si>
  <si>
    <t>BMH-T452</t>
  </si>
  <si>
    <t>TC-THUOC-ADD-NEG-015 - Mô tả chứa mã script</t>
  </si>
  <si>
    <t>1. Nhấn &lt;/&gt; để mở chế độ mã nguồn trong Mô tả
2. Nhập
3. Điền các trường còn lại
4. Lưu lại
5. Nhấn Xem ở dòng thuốc mới</t>
  </si>
  <si>
    <t>Script không được thực thi khi xem mô tả (hệ thống lọc hoặc mã hóa nội dung)</t>
  </si>
  <si>
    <t>BMH-T454</t>
  </si>
  <si>
    <t>TC-THUOC-ADD-NEG-017 - Thêm thuốc trùng tên</t>
  </si>
  <si>
    <t>Đăng nhập Admin; Đã có thuốc tên xác định</t>
  </si>
  <si>
    <t>1. Nhập tên trùng với thuốc đã có
2. Điền các trường còn lại
3. Nhấn Lưu lại</t>
  </si>
  <si>
    <t>BMH-T455</t>
  </si>
  <si>
    <t>TC-THUOC-ADD-NEG-018 - Nhấn Lưu lại nhiều lần liên tiếp</t>
  </si>
  <si>
    <t>Đăng nhập Admin; Đã điền đủ thông tin hợp lệ</t>
  </si>
  <si>
    <t>Chỉ tạo 1 thuốc; không sinh bản ghi trùng</t>
  </si>
  <si>
    <t>BMH-T456</t>
  </si>
  <si>
    <t>Quản lý danh sách thẻ BHYT</t>
  </si>
  <si>
    <t>TC-BHYT-QL-POS-001 - Hiển thị danh sách thẻ BHYT</t>
  </si>
  <si>
    <t>Đăng nhập Admin; có dữ liệu thẻ</t>
  </si>
  <si>
    <t>1. Vào Quản lý &gt; Danh sách thẻ BHYT</t>
  </si>
  <si>
    <t>Hiển thị các cột STT, Mã, Họ và tên, Nơi đăng ký khám, Giá trị sử dụng, Mã số, Ngày cấp, Nơi cấp, Hành động; có ô tìm kiếm, nút Tìm kiếm, nút Thêm thẻ BHYT và phân trang</t>
  </si>
  <si>
    <t>BMH-T457</t>
  </si>
  <si>
    <t>TC-BHYT-QL-POS-002 - Kiểm tra dữ liệu hiển thị của một thẻ</t>
  </si>
  <si>
    <t>Đăng nhập Admin; Có ít nhất 1 thẻ</t>
  </si>
  <si>
    <t>Họ và tên, Nơi đăng ký khám, Giá trị sử dụng, Mã số, Ngày cấp, Nơi cấp khớp dữ liệu thực tế</t>
  </si>
  <si>
    <t>BMH-T458</t>
  </si>
  <si>
    <t>TC-BHYT-QL-POS-003 - Kiểm tra định dạng ngày trên danh sách</t>
  </si>
  <si>
    <t>Đăng nhập Admin; Có thẻ có ngày cấp và giá trị sử dụng</t>
  </si>
  <si>
    <t>1. Quan sát cột Giá trị sử dụng và Ngày cấp</t>
  </si>
  <si>
    <t>Ngày hiển thị thống nhất dạng dd-mm-yyyy (vd 31-12-2026, 01-02-2023)</t>
  </si>
  <si>
    <t>BMH-T459</t>
  </si>
  <si>
    <t>TC-BHYT-QL-POS-004 - Tìm kiếm theo họ và tên đầy đủ</t>
  </si>
  <si>
    <t>Đăng nhập Admin; Có bệnh nhân có thẻ (vd Quynh Anh Trinh)</t>
  </si>
  <si>
    <t>1. Nhập họ và tên đầy đủ vào ô tìm kiếm
2. Nhấn Tìm kiếm</t>
  </si>
  <si>
    <t>Chỉ hiển thị thẻ của bệnh nhân phù hợp</t>
  </si>
  <si>
    <t>BMH-T460</t>
  </si>
  <si>
    <t>TC-BHYT-QL-POS-005 - Tìm kiếm theo một phần họ và tên</t>
  </si>
  <si>
    <t>Đăng nhập Admin; Có nhiều bệnh nhân cùng họ (vd Nguyễn)</t>
  </si>
  <si>
    <t>1. Nhập "Nguyễn"
2. Nhấn Tìm kiếm</t>
  </si>
  <si>
    <t>Bước 1: Nguyễn</t>
  </si>
  <si>
    <t>Hiển thị tất cả thẻ có họ tên chứa từ khóa</t>
  </si>
  <si>
    <t>BMH-T461</t>
  </si>
  <si>
    <t>TC-BHYT-QL-POS-006 - Tìm kiếm theo mã thẻ</t>
  </si>
  <si>
    <t>Đăng nhập Admin; Có thẻ mã xác định (vd BHYT889926)</t>
  </si>
  <si>
    <t>1. Nhập mã thẻ vào ô tìm kiếm
2. Nhấn Tìm kiếm</t>
  </si>
  <si>
    <t>Chỉ hiển thị thẻ có mã đó</t>
  </si>
  <si>
    <t>BMH-T462</t>
  </si>
  <si>
    <t>TC-BHYT-QL-POS-007 - Tìm kiếm theo mã số thẻ</t>
  </si>
  <si>
    <t>Đăng nhập Admin; Có thẻ mã số xác định (vd 54395)</t>
  </si>
  <si>
    <t>1. Nhập mã số vào ô tìm kiếm
2. Nhấn Tìm kiếm</t>
  </si>
  <si>
    <t>Hiển thị thẻ có mã số đó (nếu hệ thống hỗ trợ tìm theo mã số)</t>
  </si>
  <si>
    <t>BMH-T463</t>
  </si>
  <si>
    <t>TC-BHYT-QL-POS-008 - Tìm kiếm không phân biệt hoa thường</t>
  </si>
  <si>
    <t>Đăng nhập Admin; Có bệnh nhân tên xác định</t>
  </si>
  <si>
    <t>1. Nhập họ tên viết thường hoặc viết hoa toàn bộ
2. Nhấn Tìm kiếm</t>
  </si>
  <si>
    <t>BMH-T464</t>
  </si>
  <si>
    <t>TC-BHYT-QL-POS-009 - Tìm kiếm bằng phím Enter</t>
  </si>
  <si>
    <t>1. Nhập họ tên
2. Nhấn Enter</t>
  </si>
  <si>
    <t>BMH-T465</t>
  </si>
  <si>
    <t>TC-BHYT-QL-POS-010 - Xóa từ khóa để hiển thị lại toàn bộ danh sách</t>
  </si>
  <si>
    <t>Danh sách hiển thị lại đầy đủ các thẻ</t>
  </si>
  <si>
    <t>BMH-T466</t>
  </si>
  <si>
    <t>TC-BHYT-QL-POS-011 - Chuyển trang bằng số trang</t>
  </si>
  <si>
    <t>Đăng nhập Admin; Có nhiều hơn 10 thẻ (hiện có 3 trang)</t>
  </si>
  <si>
    <t>1. Nhấn số trang 2
2. Nhấn số trang 3
3. Nhấn lại trang 1</t>
  </si>
  <si>
    <t>Mỗi lần chuyển hiển thị đúng dữ liệu của trang; trang hiện tại được tô nổi bật</t>
  </si>
  <si>
    <t>BMH-T468</t>
  </si>
  <si>
    <t>TC-BHYT-QL-POS-013 - STT liên tục giữa các trang</t>
  </si>
  <si>
    <t>Đăng nhập Admin; Có nhiều hơn 10 thẻ</t>
  </si>
  <si>
    <t>1. Quan sát STT ở trang 1
2. Chuyển sang trang 2 và quan sát STT</t>
  </si>
  <si>
    <t>STT trang 2 tiếp nối trang 1 (11, 12, ...) hoặc theo thiết kế; không trùng, không bỏ sót</t>
  </si>
  <si>
    <t>BMH-T469</t>
  </si>
  <si>
    <t>TC-BHYT-QL-POS-014 - Mở màn hình Thêm thẻ BHYT từ danh sách</t>
  </si>
  <si>
    <t>1. Nhấn nút Thêm thẻ BHYT</t>
  </si>
  <si>
    <t>Chuyển sang màn hình Thêm thẻ BHYT</t>
  </si>
  <si>
    <t>BMH-T470</t>
  </si>
  <si>
    <t>TC-BHYT-QL-POS-015 - Mở chức năng chỉnh sửa thẻ</t>
  </si>
  <si>
    <t>Đăng nhập Admin; Có thẻ trong danh sách</t>
  </si>
  <si>
    <t>Mở màn hình Cập nhật thẻ BHYT; Họ và tên, Mã số, Nơi đăng ký khám, Giá trị sử dụng, Ngày cấp, Nơi cấp hiển thị đúng dữ liệu hiện tại</t>
  </si>
  <si>
    <t>BMH-T471</t>
  </si>
  <si>
    <t>TC-BHYT-QL-POS-016 - Cập nhật Họ và tên (đổi bệnh nhân)</t>
  </si>
  <si>
    <t>Đăng nhập Admin; Có thẻ thử nghiệm; có bệnh nhân khác</t>
  </si>
  <si>
    <t>1. Mở chỉnh sửa
2. Chọn bệnh nhân khác ở Họ và tên
3. Lưu
4. Kiểm tra danh sách</t>
  </si>
  <si>
    <t>Nếu hệ thống cho phép đổi, thẻ hiển thị đúng bệnh nhân mới; nếu không cho, trường bị khóa</t>
  </si>
  <si>
    <t>BMH-T472</t>
  </si>
  <si>
    <t>TC-BHYT-QL-POS-017 - Cập nhật Mã số hợp lệ</t>
  </si>
  <si>
    <t>Đăng nhập Admin; Có thẻ thử nghiệm</t>
  </si>
  <si>
    <t>1. Mở chỉnh sửa
2. Đổi Mã số thành giá trị hợp lệ chưa dùng
3. Lưu
4. Kiểm tra danh sách</t>
  </si>
  <si>
    <t>Mã số mới hiển thị đúng, các thông tin khác giữ nguyên</t>
  </si>
  <si>
    <t>BMH-T473</t>
  </si>
  <si>
    <t>TC-BHYT-QL-POS-018 - Cập nhật Nơi đăng ký khám</t>
  </si>
  <si>
    <t>1. Mở chỉnh sửa
2. Đổi Nơi đăng ký khám thành "Bệnh viện Bạch Mai"
3. Lưu
4. Kiểm tra danh sách</t>
  </si>
  <si>
    <t>Bước 2: Bệnh viện Bạch Mai</t>
  </si>
  <si>
    <t>Nơi đăng ký khám hiển thị "Bệnh viện Bạch Mai" trên danh sách</t>
  </si>
  <si>
    <t>BMH-T474</t>
  </si>
  <si>
    <t>TC-BHYT-QL-POS-019 - Cập nhật Giá trị sử dụng (gia hạn thẻ)</t>
  </si>
  <si>
    <t>1. Mở chỉnh sửa
2. Chọn ngày giá trị sử dụng mới sau ngày cũ
3. Lưu
4. Kiểm tra danh sách</t>
  </si>
  <si>
    <t>Giá trị sử dụng mới hiển thị đúng dạng dd-mm-yyyy</t>
  </si>
  <si>
    <t>BMH-T475</t>
  </si>
  <si>
    <t>TC-BHYT-QL-POS-020 - Cập nhật Ngày cấp</t>
  </si>
  <si>
    <t>1. Mở chỉnh sửa
2. Đổi Ngày cấp (vẫn trước Giá trị sử dụng)
3. Lưu
4. Kiểm tra danh sách</t>
  </si>
  <si>
    <t>Ngày cấp mới hiển thị đúng</t>
  </si>
  <si>
    <t>BMH-T476</t>
  </si>
  <si>
    <t>TC-BHYT-QL-POS-021 - Cập nhật Nơi cấp</t>
  </si>
  <si>
    <t>1. Mở chỉnh sửa
2. Đổi Nơi cấp (vd "Hà Nội")
3. Lưu
4. Kiểm tra danh sách</t>
  </si>
  <si>
    <t>Bước 2: Hà Nội</t>
  </si>
  <si>
    <t>Nơi cấp mới hiển thị đúng</t>
  </si>
  <si>
    <t>BMH-T477</t>
  </si>
  <si>
    <t>TC-BHYT-QL-POS-022 - Lưu khi không thay đổi thông tin nào</t>
  </si>
  <si>
    <t>1. Mở chỉnh sửa
2. Không sửa gì
3. Nhấn Lưu lại
4. Kiểm tra danh sách</t>
  </si>
  <si>
    <t>Lưu thành công hoặc báo không có thay đổi; dữ liệu thẻ giữ nguyên, không lỗi</t>
  </si>
  <si>
    <t>BMH-T478</t>
  </si>
  <si>
    <t>TC-BHYT-QL-POS-023 - Quay lại từ màn hình Cập nhật mà không lưu</t>
  </si>
  <si>
    <t>Quay về danh sách; dữ liệu thẻ không bị thay đổi</t>
  </si>
  <si>
    <t>BMH-T479</t>
  </si>
  <si>
    <t>TC-BHYT-QL-POS-024 - Xóa thẻ BHYT</t>
  </si>
  <si>
    <t>Thẻ bị xóa (hoặc chuyển trạng thái theo nghiệp vụ), có thông báo, danh sách cập nhật</t>
  </si>
  <si>
    <t>BMH-T480</t>
  </si>
  <si>
    <t>TC-BHYT-QL-NEG-001 - Tìm kiếm bằng họ tên không tồn tại</t>
  </si>
  <si>
    <t>BMH-T481</t>
  </si>
  <si>
    <t>TC-BHYT-QL-NEG-002 - Tìm kiếm bằng mã không tồn tại</t>
  </si>
  <si>
    <t>1. Nhập mã không tồn tại (vd BHYT000000)
2. Nhấn Tìm kiếm</t>
  </si>
  <si>
    <t>Bước 1: BHYT000000</t>
  </si>
  <si>
    <t>BMH-T482</t>
  </si>
  <si>
    <t>TC-BHYT-QL-NEG-003 - Tìm kiếm với ký tự đặc biệt</t>
  </si>
  <si>
    <t>BMH-T483</t>
  </si>
  <si>
    <t>TC-BHYT-QL-NEG-004 - Tìm kiếm chỉ với khoảng trắng</t>
  </si>
  <si>
    <t>BMH-T484</t>
  </si>
  <si>
    <t>TC-BHYT-QL-NEG-005 - Tìm kiếm với chuỗi quá dài</t>
  </si>
  <si>
    <t>1. Nhập chuỗi trên 255 ký tự
2. Nhấn Tìm kiếm</t>
  </si>
  <si>
    <t>Hệ thống xử lý ổn định, không lỗi, không treo; trả về danh sách rỗng</t>
  </si>
  <si>
    <t>BMH-T485</t>
  </si>
  <si>
    <t>TC-BHYT-QL-NEG-006 - Tìm kiếm có khoảng trắng đầu và cuối</t>
  </si>
  <si>
    <t>1. Nhập họ tên kèm khoảng trắng ở đầu và cuối
2. Nhấn Tìm kiếm</t>
  </si>
  <si>
    <t>Hệ thống bỏ khoảng trắng thừa và vẫn tìm thấy thẻ</t>
  </si>
  <si>
    <t>BMH-T488</t>
  </si>
  <si>
    <t>TC-BHYT-QL-NEG-009 - Cập nhật khi bỏ trống Mã số</t>
  </si>
  <si>
    <t>1. Mở chỉnh sửa
2. Xóa trống Mã số
3. Nhấn Lưu lại</t>
  </si>
  <si>
    <t>Không lưu; cảnh báo yêu cầu nhập Mã số</t>
  </si>
  <si>
    <t>BMH-T489</t>
  </si>
  <si>
    <t>TC-BHYT-QL-NEG-010 - Cập nhật khi bỏ trống Nơi đăng ký khám</t>
  </si>
  <si>
    <t>1. Mở chỉnh sửa
2. Xóa trống Nơi đăng ký khám
3. Nhấn Lưu lại</t>
  </si>
  <si>
    <t>Không lưu; cảnh báo yêu cầu nhập Nơi đăng ký khám</t>
  </si>
  <si>
    <t>BMH-T490</t>
  </si>
  <si>
    <t>TC-BHYT-QL-NEG-011 - Cập nhật khi bỏ trống Giá trị sử dụng</t>
  </si>
  <si>
    <t>1. Mở chỉnh sửa
2. Xóa trống Giá trị sử dụng
3. Nhấn Lưu lại</t>
  </si>
  <si>
    <t>Không lưu; cảnh báo yêu cầu chọn Giá trị sử dụng</t>
  </si>
  <si>
    <t>BMH-T491</t>
  </si>
  <si>
    <t>TC-BHYT-QL-NEG-012 - Cập nhật khi bỏ trống Ngày cấp</t>
  </si>
  <si>
    <t>1. Mở chỉnh sửa
2. Xóa trống Ngày cấp
3. Nhấn Lưu lại</t>
  </si>
  <si>
    <t>Không lưu; cảnh báo yêu cầu chọn Ngày cấp</t>
  </si>
  <si>
    <t>BMH-T492</t>
  </si>
  <si>
    <t>TC-BHYT-QL-NEG-013 - Cập nhật khi bỏ trống Nơi cấp</t>
  </si>
  <si>
    <t>1. Mở chỉnh sửa
2. Xóa trống Nơi cấp
3. Nhấn Lưu lại</t>
  </si>
  <si>
    <t>Không lưu; cảnh báo yêu cầu nhập Nơi cấp</t>
  </si>
  <si>
    <t>BMH-T493</t>
  </si>
  <si>
    <t>TC-BHYT-QL-NEG-014 - Cập nhật Mã số chứa chữ hoặc ký tự đặc biệt</t>
  </si>
  <si>
    <t>1. Mở chỉnh sửa
2. Nhập "abc12" hoặc "@#$%" vào Mã số
3. Nhấn Lưu lại</t>
  </si>
  <si>
    <t>Bước 2: abc12
Bước 2: @#$%</t>
  </si>
  <si>
    <t>Hệ thống từ chối hoặc chặn nhập, hiển thị cảnh báo; không lưu mã số sai định dạng</t>
  </si>
  <si>
    <t>BMH-T494</t>
  </si>
  <si>
    <t>TC-BHYT-QL-NEG-015 - Cập nhật Mã số trùng với thẻ khác</t>
  </si>
  <si>
    <t>Đăng nhập Admin; Có ít nhất 2 thẻ</t>
  </si>
  <si>
    <t>1. Mở chỉnh sửa thẻ A
2. Nhập Mã số của thẻ B
3. Nhấn Lưu lại</t>
  </si>
  <si>
    <t>Nếu cấm trùng mã số, hệ thống từ chối và thông báo; nếu cho phép, đánh giá theo quy tắc thực tế</t>
  </si>
  <si>
    <t>BMH-T495</t>
  </si>
  <si>
    <t>TC-BHYT-QL-NEG-016 - Cập nhật Giá trị sử dụng trước Ngày cấp</t>
  </si>
  <si>
    <t>1. Mở chỉnh sửa
2. Chọn Giá trị sử dụng sớm hơn Ngày cấp
3. Nhấn Lưu lại</t>
  </si>
  <si>
    <t>Hệ thống từ chối và thông báo; không lưu khoảng ngày vô lý</t>
  </si>
  <si>
    <t>BMH-T497</t>
  </si>
  <si>
    <t>TC-BHYT-QL-NEG-018 - Xóa thẻ đang được dùng ở chức năng khác</t>
  </si>
  <si>
    <t>Đăng nhập Admin; Có thẻ gắn với bệnh nhân đã có giấy khám hoặc đơn thuốc</t>
  </si>
  <si>
    <t>1. Nhấn biểu tượng xóa tại thẻ đó
2. Xác nhận xóa</t>
  </si>
  <si>
    <t>Nếu có ràng buộc dữ liệu, hệ thống từ chối và thông báo; nếu cho xóa, dữ liệu liên quan vẫn hiển thị đúng, không lỗi</t>
  </si>
  <si>
    <t>BMH-T498</t>
  </si>
  <si>
    <t>Thêm thẻ BHYT</t>
  </si>
  <si>
    <t>TC-BHYT-ADD-POS-001 - Hiển thị màn hình Thêm thẻ BHYT</t>
  </si>
  <si>
    <t>1. Danh sách &gt; nhấn Thêm thẻ BHYT</t>
  </si>
  <si>
    <t>Hiển thị đủ Họ và tên*, Mã số*, Nơi đăng ký khám*, Giá trị sử dụng*, Ngày cấp*, Nơi cấp*; các trường đều trống; có nút Lưu lại và Quay lại</t>
  </si>
  <si>
    <t>BMH-T500</t>
  </si>
  <si>
    <t>TC-BHYT-ADD-POS-003 - Thêm thẻ BHYT với đầy đủ thông tin hợp lệ</t>
  </si>
  <si>
    <t>Đăng nhập Admin; Có bệnh nhân chưa có thẻ</t>
  </si>
  <si>
    <t>1. Chọn Họ và tên
2. Nhập Mã số hợp lệ (vd 12345)
3. Nhập Nơi đăng ký khám "Bệnh viện Bạch Mai"
4. Chọn Giá trị sử dụng 31-12-2027
5. Chọn Ngày cấp 01-02-2023
6. Nhập Nơi cấp "Cầu Giấy, Hà Nội"
7. Nhấn Lưu lại</t>
  </si>
  <si>
    <t>Bước 2: 12345
Bước 3: Bệnh viện Bạch Mai
Bước 6: Cầu Giấy, Hà Nội</t>
  </si>
  <si>
    <t>Lưu thành công, có thông báo; thẻ mới xuất hiện trong danh sách với thông tin đã nhập</t>
  </si>
  <si>
    <t>BMH-T501</t>
  </si>
  <si>
    <t>TC-BHYT-ADD-POS-004 - Chọn Họ và tên từ danh sách bệnh nhân</t>
  </si>
  <si>
    <t>Đăng nhập Admin; Có nhiều bệnh nhân</t>
  </si>
  <si>
    <t>1. Mở dropdown Họ và tên
2. Chọn một bệnh nhân</t>
  </si>
  <si>
    <t>Danh sách hiển thị các bệnh nhân hiện có; bệnh nhân đã chọn hiển thị trên trường</t>
  </si>
  <si>
    <t>BMH-T502</t>
  </si>
  <si>
    <t>TC-BHYT-ADD-POS-005 - Tìm kiếm bệnh nhân trong dropdown</t>
  </si>
  <si>
    <t>1. Mở dropdown Họ và tên
2. Gõ một phần tên bệnh nhân (nếu có ô tìm)</t>
  </si>
  <si>
    <t>Danh sách lọc theo từ khóa gõ vào; chọn được bệnh nhân tìm thấy</t>
  </si>
  <si>
    <t>BMH-T503</t>
  </si>
  <si>
    <t>TC-BHYT-ADD-POS-006 - Nhập Mã số hợp lệ</t>
  </si>
  <si>
    <t>1. Nhập mã số hợp lệ (vd 12345)</t>
  </si>
  <si>
    <t>Bước 1: 12345</t>
  </si>
  <si>
    <t>Giá trị hiển thị đúng; sau khi lưu hiển thị đúng ở cột Mã số</t>
  </si>
  <si>
    <t>BMH-T504</t>
  </si>
  <si>
    <t>TC-BHYT-ADD-POS-007 - Nhập Nơi đăng ký khám</t>
  </si>
  <si>
    <t>1. Nhập "Bệnh viện Bạch Mai" vào Nơi đăng ký khám
2. Điền các trường còn lại
3. Lưu</t>
  </si>
  <si>
    <t>Bước 1: Bệnh viện Bạch Mai</t>
  </si>
  <si>
    <t>Lưu thành công; danh sách hiển thị đúng "Bệnh viện Bạch Mai"</t>
  </si>
  <si>
    <t>BMH-T505</t>
  </si>
  <si>
    <t>TC-BHYT-ADD-POS-008 - Chọn Giá trị sử dụng bằng bộ chọn ngày</t>
  </si>
  <si>
    <t>1. Nhấn biểu tượng lịch ở Giá trị sử dụng
2. Chọn một ngày</t>
  </si>
  <si>
    <t>Ngày hiển thị đúng định dạng dd-mm-yyyy trong trường</t>
  </si>
  <si>
    <t>BMH-T506</t>
  </si>
  <si>
    <t>TC-BHYT-ADD-POS-009 - Chọn Ngày cấp bằng bộ chọn ngày</t>
  </si>
  <si>
    <t>1. Nhấn biểu tượng lịch ở Ngày cấp
2. Chọn một ngày</t>
  </si>
  <si>
    <t>BMH-T507</t>
  </si>
  <si>
    <t>TC-BHYT-ADD-POS-010 - Nhập ngày thủ công đúng định dạng</t>
  </si>
  <si>
    <t>1. Gõ trực tiếp "31-12-2027" vào Giá trị sử dụng
2. Gõ "01-02-2023" vào Ngày cấp</t>
  </si>
  <si>
    <t>Bước 1: 31-12-2027
Bước 2: 01-02-2023</t>
  </si>
  <si>
    <t>Ngày được chấp nhận và hiển thị đúng; hoặc trường chỉ cho chọn bằng lịch, theo thiết kế</t>
  </si>
  <si>
    <t>BMH-T508</t>
  </si>
  <si>
    <t>TC-BHYT-ADD-POS-011 - Nhập Nơi cấp</t>
  </si>
  <si>
    <t>1. Nhập "Cầu Giấy, Hà Nội" vào Nơi cấp
2. Điền các trường còn lại
3. Lưu</t>
  </si>
  <si>
    <t>Bước 1: Cầu Giấy, Hà Nội</t>
  </si>
  <si>
    <t>Lưu thành công; danh sách hiển thị đúng Nơi cấp</t>
  </si>
  <si>
    <t>BMH-T509</t>
  </si>
  <si>
    <t>TC-BHYT-ADD-POS-012 - Nhập tiếng Việt có dấu và dấu phẩy</t>
  </si>
  <si>
    <t>1. Nhập Nơi đăng ký khám và Nơi cấp có dấu tiếng Việt và dấu phẩy
2. Điền các trường còn lại
3. Lưu</t>
  </si>
  <si>
    <t>BMH-T510</t>
  </si>
  <si>
    <t>TC-BHYT-ADD-POS-013 - Kiểm tra thẻ mới trong danh sách sau khi lưu</t>
  </si>
  <si>
    <t>Đăng nhập Admin; Đã thêm thẻ hợp lệ</t>
  </si>
  <si>
    <t>1. Lưu thành công
2. Mở danh sách
3. Tìm thẻ vừa tạo</t>
  </si>
  <si>
    <t>Thẻ có mã tự sinh (định dạng BHYTxxxxxx), đúng họ tên, mã số, nơi đăng ký khám, ngày cấp, giá trị sử dụng, nơi cấp</t>
  </si>
  <si>
    <t>BMH-T512</t>
  </si>
  <si>
    <t>TC-BHYT-ADD-POS-015 - Tìm thấy thẻ vừa thêm bằng ô tìm kiếm</t>
  </si>
  <si>
    <t>1. Nhập họ tên bệnh nhân của thẻ vừa thêm
2. Nhấn Tìm kiếm</t>
  </si>
  <si>
    <t>Thẻ vừa thêm xuất hiện trong kết quả</t>
  </si>
  <si>
    <t>BMH-T513</t>
  </si>
  <si>
    <t>TC-BHYT-ADD-POS-016 - Kiểm tra liên kết thẻ với bệnh nhân</t>
  </si>
  <si>
    <t>Đăng nhập Admin; Đã thêm thẻ cho một bệnh nhân</t>
  </si>
  <si>
    <t>1. Mở hồ sơ bệnh nhân đó (hoặc màn hình Thêm giấy khám)
2. Kiểm tra thông tin thẻ BHYT</t>
  </si>
  <si>
    <t>Thông tin thẻ BHYT của bệnh nhân được ghi nhận hoặc hiển thị theo thiết kế</t>
  </si>
  <si>
    <t>BMH-T514</t>
  </si>
  <si>
    <t>TC-BHYT-ADD-POS-017 - Quay lại không lưu dữ liệu</t>
  </si>
  <si>
    <t>Quay về danh sách; không tạo thẻ mới từ dữ liệu chưa lưu</t>
  </si>
  <si>
    <t>BMH-T515</t>
  </si>
  <si>
    <t>TC-BHYT-ADD-NEG-001 - Thiếu Họ và tên</t>
  </si>
  <si>
    <t>1. Không chọn bệnh nhân, điền các trường còn lại
2. Nhấn Lưu lại</t>
  </si>
  <si>
    <t>BMH-T516</t>
  </si>
  <si>
    <t>TC-BHYT-ADD-NEG-002 - Thiếu Mã số</t>
  </si>
  <si>
    <t>1. Bỏ trống Mã số, điền các trường còn lại
2. Nhấn Lưu lại</t>
  </si>
  <si>
    <t>BMH-T517</t>
  </si>
  <si>
    <t>TC-BHYT-ADD-NEG-003 - Thiếu Nơi đăng ký khám</t>
  </si>
  <si>
    <t>1. Bỏ trống Nơi đăng ký khám, điền các trường còn lại
2. Nhấn Lưu lại</t>
  </si>
  <si>
    <t>BMH-T518</t>
  </si>
  <si>
    <t>TC-BHYT-ADD-NEG-004 - Thiếu Giá trị sử dụng</t>
  </si>
  <si>
    <t>1. Bỏ trống Giá trị sử dụng, điền các trường còn lại
2. Nhấn Lưu lại</t>
  </si>
  <si>
    <t>BMH-T519</t>
  </si>
  <si>
    <t>TC-BHYT-ADD-NEG-005 - Thiếu Ngày cấp</t>
  </si>
  <si>
    <t>1. Bỏ trống Ngày cấp, điền các trường còn lại
2. Nhấn Lưu lại</t>
  </si>
  <si>
    <t>BMH-T520</t>
  </si>
  <si>
    <t>TC-BHYT-ADD-NEG-006 - Thiếu Nơi cấp</t>
  </si>
  <si>
    <t>1. Bỏ trống Nơi cấp, điền các trường còn lại
2. Nhấn Lưu lại</t>
  </si>
  <si>
    <t>BMH-T521</t>
  </si>
  <si>
    <t>TC-BHYT-ADD-NEG-007 - Bỏ trống toàn bộ trường bắt buộc</t>
  </si>
  <si>
    <t>Không tạo thẻ; cảnh báo ở tất cả trường bắt buộc; không lỗi hệ thống</t>
  </si>
  <si>
    <t>BMH-T522</t>
  </si>
  <si>
    <t>TC-BHYT-ADD-NEG-008 - Mã số chứa chữ cái</t>
  </si>
  <si>
    <t>1. Nhập "abc12" vào Mã số
2. Điền các trường còn lại
3. Nhấn Lưu lại</t>
  </si>
  <si>
    <t>Bước 1: abc12</t>
  </si>
  <si>
    <t>Hệ thống từ chối hoặc chặn nhập, hiển thị cảnh báo</t>
  </si>
  <si>
    <t>Hệ thống cho phép nhập và lưu dữ liệu thành công.</t>
  </si>
  <si>
    <t>BMH-1</t>
  </si>
  <si>
    <t>BMH-T523</t>
  </si>
  <si>
    <t>TC-BHYT-ADD-NEG-009 - Mã số chứa ký tự đặc biệt hoặc khoảng trắng</t>
  </si>
  <si>
    <t>1. Nhập "12 34" hoặc "@#$%" vào Mã số
2. Điền các trường còn lại
3. Nhấn Lưu lại</t>
  </si>
  <si>
    <t>Bước 1: 12 34
Bước 1: @#$%</t>
  </si>
  <si>
    <t>BMH-2</t>
  </si>
  <si>
    <t>BMH-T524</t>
  </si>
  <si>
    <t>TC-BHYT-ADD-NEG-010 - Mã số quá ngắn</t>
  </si>
  <si>
    <t>1. Nhập Mã số 1 chữ số (vd 1)
2. Điền các trường còn lại
3. Nhấn Lưu lại</t>
  </si>
  <si>
    <t>Bước 1: 1</t>
  </si>
  <si>
    <t>Nếu có quy tắc độ dài tối thiểu, hệ thống từ chối và thông báo; nếu không, đánh giá theo yêu cầu thực tế</t>
  </si>
  <si>
    <t>BMH-3</t>
  </si>
  <si>
    <t>BMH-T525</t>
  </si>
  <si>
    <t>TC-BHYT-ADD-NEG-011 - Mã số quá dài</t>
  </si>
  <si>
    <t>1. Nhập Mã số trên 20 chữ số
2. Điền các trường còn lại
3. Nhấn Lưu lại</t>
  </si>
  <si>
    <t>Hệ thống từ chối hoặc cắt theo giới hạn; không lỗi, giao diện danh sách không vỡ</t>
  </si>
  <si>
    <t>Hệ thống lưu dữ liệu thẻ BHYT thành công.</t>
  </si>
  <si>
    <t>BMH-7</t>
  </si>
  <si>
    <t>BMH-T526</t>
  </si>
  <si>
    <t>TC-BHYT-ADD-NEG-012 - Mã số trùng với thẻ đã có</t>
  </si>
  <si>
    <t>Đăng nhập Admin; Đã có thẻ mã số xác định</t>
  </si>
  <si>
    <t>1. Nhập Mã số trùng thẻ đã có
2. Điền các trường còn lại
3. Nhấn Lưu lại</t>
  </si>
  <si>
    <t>BMH-4</t>
  </si>
  <si>
    <t>BMH-T527</t>
  </si>
  <si>
    <t>TC-BHYT-ADD-NEG-013 - Nơi đăng ký khám chỉ chứa khoảng trắng</t>
  </si>
  <si>
    <t>1. Nhập toàn khoảng trắng vào Nơi đăng ký khám
2. Điền các trường còn lại
3. Nhấn Lưu lại</t>
  </si>
  <si>
    <t>BMH-T528</t>
  </si>
  <si>
    <t>TC-BHYT-ADD-NEG-014 - Nơi cấp chỉ chứa khoảng trắng</t>
  </si>
  <si>
    <t>1. Nhập toàn khoảng trắng vào Nơi cấp
2. Điền các trường còn lại
3. Nhấn Lưu lại</t>
  </si>
  <si>
    <t>BMH-T529</t>
  </si>
  <si>
    <t>TC-BHYT-ADD-NEG-015 - Nơi đăng ký khám và Nơi cấp quá dài</t>
  </si>
  <si>
    <t>1. Nhập chuỗi trên 255 ký tự vào Nơi đăng ký khám và Nơi cấp
2. Điền các trường còn lại
3. Nhấn Lưu lại</t>
  </si>
  <si>
    <t>BMH-T530</t>
  </si>
  <si>
    <t>TC-BHYT-ADD-NEG-016 - Nơi đăng ký khám chứa mã script</t>
  </si>
  <si>
    <t>1. Nhập vào Nơi đăng ký khám
2. Điền các trường còn lại
3. Nhấn Lưu lại
4. Mở danh sách</t>
  </si>
  <si>
    <t>BMH-T531</t>
  </si>
  <si>
    <t>TC-BHYT-ADD-NEG-017 - Giá trị sử dụng trước Ngày cấp</t>
  </si>
  <si>
    <t>1. Chọn Ngày cấp 01-02-2023
2. Chọn Giá trị sử dụng 01-01-2023
3. Điền các trường còn lại
4. Nhấn Lưu lại</t>
  </si>
  <si>
    <t>BMH-T532</t>
  </si>
  <si>
    <t>TC-BHYT-ADD-NEG-018 - Giá trị sử dụng trong quá khứ (thẻ đã hết hạn)</t>
  </si>
  <si>
    <t>1. Chọn Giá trị sử dụng là ngày đã qua (vd 01-01-2024)
2. Chọn Ngày cấp trước đó
3. Điền các trường còn lại
4. Nhấn Lưu lại</t>
  </si>
  <si>
    <t>Bước 1: 01-01-2024</t>
  </si>
  <si>
    <t>Nếu nghiệp vụ không cho thêm thẻ đã hết hạn, hệ thống từ chối và thông báo; nếu cho phép nhập thẻ cũ, đánh giá theo yêu cầu thực tế</t>
  </si>
  <si>
    <t>BMH-T533</t>
  </si>
  <si>
    <t>TC-BHYT-ADD-NEG-019 - Ngày cấp trong tương lai</t>
  </si>
  <si>
    <t>1. Chọn Ngày cấp là ngày sau ngày hiện tại
2. Chọn Giá trị sử dụng sau đó
3. Điền các trường còn lại
4. Nhấn Lưu lại</t>
  </si>
  <si>
    <t>Nếu nghiệp vụ không cho cấp trong tương lai, hệ thống từ chối và thông báo; nếu cho phép, đánh giá theo yêu cầu thực tế</t>
  </si>
  <si>
    <t>BMH-T534</t>
  </si>
  <si>
    <t>TC-BHYT-ADD-NEG-020 - Nhập ngày sai định dạng</t>
  </si>
  <si>
    <t>1. Thử gõ "32-13-2026" hoặc "abc" vào Giá trị sử dụng và Ngày cấp
2. Nhấn Lưu lại</t>
  </si>
  <si>
    <t>Bước 1: 32-13-2026
Bước 1: abc</t>
  </si>
  <si>
    <t>Hệ thống không chấp nhận giá trị sai và hiển thị cảnh báo; hoặc trường không cho nhập tay, theo thiết kế</t>
  </si>
  <si>
    <t>BMH-T536</t>
  </si>
  <si>
    <t>TC-BHYT-ADD-NEG-022 - Nhấn Lưu lại nhiều lần liên tiếp</t>
  </si>
  <si>
    <t>Chỉ tạo 1 thẻ; không sinh bản ghi trùng</t>
  </si>
  <si>
    <t>BMH-T537</t>
  </si>
  <si>
    <t>Quản lý danh sách lịch làm việc</t>
  </si>
  <si>
    <t>TC-LLV-QL-POS-001 - Hiển thị danh sách lịch làm việc</t>
  </si>
  <si>
    <t>Đăng nhập Admin; có dữ liệu lịch</t>
  </si>
  <si>
    <t>1. Vào Quản lý &gt; Lịch làm việc</t>
  </si>
  <si>
    <t>Hiển thị các cột STT, Mã bác sĩ, Tên bác sĩ, Ngày đăng ký, Lịch làm việc, Trạng thái, Hành động; có ô tìm kiếm Mã bác sĩ, bộ lọc Trạng thái, nút Tìm kiếm và Thêm lịch làm việc</t>
  </si>
  <si>
    <t>BMH-T538</t>
  </si>
  <si>
    <t>TC-LLV-QL-POS-002 - Kiểm tra dữ liệu hiển thị của một lịch</t>
  </si>
  <si>
    <t>Đăng nhập Admin; Có ít nhất 1 lịch</t>
  </si>
  <si>
    <t>Mã bác sĩ, tên bác sĩ, ngày đăng ký, trạng thái khớp dữ liệu thực tế</t>
  </si>
  <si>
    <t>BMH-T539</t>
  </si>
  <si>
    <t>TC-LLV-QL-POS-003 - Kiểm tra hiển thị các khung giờ trên danh sách</t>
  </si>
  <si>
    <t>Đăng nhập Admin; Có lịch đã chọn một số khung giờ</t>
  </si>
  <si>
    <t>1. Quan sát cột Lịch làm việc của một dòng
2. Đối chiếu với các khung giờ đã chọn khi tạo lịch</t>
  </si>
  <si>
    <t>Chỉ hiển thị đúng các khung giờ đã chọn, theo thứ tự tăng dần, không có khung nghỉ trưa 12:00-13:30; các khung giờ không bị cắt hay chồng lấn</t>
  </si>
  <si>
    <t>BMH-T540</t>
  </si>
  <si>
    <t>TC-LLV-QL-POS-004 - Kiểm tra định dạng Ngày đăng ký trên danh sách</t>
  </si>
  <si>
    <t>Đăng nhập Admin; Có lịch có ngày đăng ký</t>
  </si>
  <si>
    <t>1. Quan sát cột Ngày đăng ký
2. So sánh với ngày đã chọn ở form Thêm/Chỉnh sửa</t>
  </si>
  <si>
    <t>Ngày hiển thị đúng với ngày đã chọn; định dạng thống nhất, dễ đọc (hiện thấy yyyy-mm-dd)</t>
  </si>
  <si>
    <t>BMH-T541</t>
  </si>
  <si>
    <t>TC-LLV-QL-POS-005 - Kiểm tra thứ tự sắp xếp danh sách</t>
  </si>
  <si>
    <t>Đăng nhập Admin; Có nhiều lịch</t>
  </si>
  <si>
    <t>Danh sách sắp xếp thống nhất (hiện thấy ngày đăng ký mới nhất ở đầu)</t>
  </si>
  <si>
    <t>BMH-T542</t>
  </si>
  <si>
    <t>TC-LLV-QL-POS-006 - Tìm kiếm theo mã bác sĩ đầy đủ</t>
  </si>
  <si>
    <t>Đăng nhập Admin; Có bác sĩ mã xác định (vd TK000002)</t>
  </si>
  <si>
    <t>1. Nhập mã bác sĩ đầy đủ vào ô tìm kiếm
2. Nhấn Tìm kiếm</t>
  </si>
  <si>
    <t>Chỉ hiển thị các lịch của bác sĩ có mã đó</t>
  </si>
  <si>
    <t>BMH-T543</t>
  </si>
  <si>
    <t>TC-LLV-QL-POS-007 - Tìm kiếm theo một phần mã bác sĩ</t>
  </si>
  <si>
    <t>Đăng nhập Admin; Có nhiều bác sĩ có mã gần nhau</t>
  </si>
  <si>
    <t>1. Nhập một phần mã (vd "TK0000")
2. Nhấn Tìm kiếm</t>
  </si>
  <si>
    <t>Bước 1: TK0000</t>
  </si>
  <si>
    <t>Hiển thị các lịch có mã bác sĩ chứa từ khóa, theo quy tắc tìm kiếm của hệ thống</t>
  </si>
  <si>
    <t>BMH-T544</t>
  </si>
  <si>
    <t>TC-LLV-QL-POS-008 - Tìm kiếm theo tên bác sĩ</t>
  </si>
  <si>
    <t>Đăng nhập Admin; Có bác sĩ tên xác định (vd Vũ Minh Công)</t>
  </si>
  <si>
    <t>1. Nhập tên bác sĩ vào ô tìm kiếm
2. Nhấn Tìm kiếm</t>
  </si>
  <si>
    <t>Nếu hệ thống hỗ trợ tìm theo tên, chỉ hiển thị lịch của bác sĩ đó; nếu không hỗ trợ, trả về danh sách rỗng và không lỗi</t>
  </si>
  <si>
    <t>BMH-T545</t>
  </si>
  <si>
    <t>TC-LLV-QL-POS-009 - Tìm kiếm không phân biệt hoa thường</t>
  </si>
  <si>
    <t>Đăng nhập Admin; Có bác sĩ mã xác định</t>
  </si>
  <si>
    <t>1. Nhập mã viết thường (vd "tk000002")
2. Nhấn Tìm kiếm</t>
  </si>
  <si>
    <t>Bước 1: tk000002</t>
  </si>
  <si>
    <t>Kết quả giống với khi nhập viết hoa</t>
  </si>
  <si>
    <t>BMH-T546</t>
  </si>
  <si>
    <t>TC-LLV-QL-POS-010 - Tìm kiếm bằng phím Enter</t>
  </si>
  <si>
    <t>1. Nhập mã bác sĩ
2. Nhấn Enter</t>
  </si>
  <si>
    <t>BMH-T547</t>
  </si>
  <si>
    <t>TC-LLV-QL-POS-011 - Kiểm tra các lựa chọn của bộ lọc Trạng thái</t>
  </si>
  <si>
    <t>1. Mở dropdown Trạng thái</t>
  </si>
  <si>
    <t>Hiển thị các lựa chọn: Trạng thái (mặc định), Bản nháp, Xuất bản</t>
  </si>
  <si>
    <t>BMH-T548</t>
  </si>
  <si>
    <t>TC-LLV-QL-POS-012 - Lọc theo trạng thái Xuất bản</t>
  </si>
  <si>
    <t>Đăng nhập Admin; Có lịch Xuất bản</t>
  </si>
  <si>
    <t>1. Chọn Xuất bản
2. Nhấn Tìm kiếm</t>
  </si>
  <si>
    <t>Chỉ hiển thị lịch có trạng thái Xuất bản</t>
  </si>
  <si>
    <t>BMH-T549</t>
  </si>
  <si>
    <t>TC-LLV-QL-POS-013 - Lọc theo trạng thái Bản nháp</t>
  </si>
  <si>
    <t>Đăng nhập Admin; Có lịch Bản nháp</t>
  </si>
  <si>
    <t>1. Chọn Bản nháp
2. Nhấn Tìm kiếm</t>
  </si>
  <si>
    <t>Chỉ hiển thị lịch có trạng thái Bản nháp</t>
  </si>
  <si>
    <t>BMH-T550</t>
  </si>
  <si>
    <t>TC-LLV-QL-POS-014 - Tìm kiếm kết hợp mã bác sĩ và trạng thái</t>
  </si>
  <si>
    <t>Đăng nhập Admin; Có dữ liệu thỏa mãn cả hai điều kiện</t>
  </si>
  <si>
    <t>1. Nhập mã bác sĩ
2. Chọn Trạng thái
3. Nhấn Tìm kiếm</t>
  </si>
  <si>
    <t>Danh sách chỉ gồm lịch thỏa mãn đồng thời cả hai điều kiện</t>
  </si>
  <si>
    <t>BMH-T551</t>
  </si>
  <si>
    <t>TC-LLV-QL-POS-015 - Bỏ lọc để hiển thị lại toàn bộ danh sách</t>
  </si>
  <si>
    <t>Đăng nhập Admin; Đã áp dụng một bộ lọc</t>
  </si>
  <si>
    <t>1. Chọn lại "Trạng thái" mặc định
2. Xóa nội dung ô tìm kiếm
3. Nhấn Tìm kiếm</t>
  </si>
  <si>
    <t>Bước 1: Trạng thái</t>
  </si>
  <si>
    <t>Danh sách hiển thị lại đầy đủ các lịch</t>
  </si>
  <si>
    <t>BMH-T552</t>
  </si>
  <si>
    <t>TC-LLV-QL-POS-016 - Kiểm tra nhãn Trạng thái trên danh sách</t>
  </si>
  <si>
    <t>Đăng nhập Admin; Có lịch Bản nháp và Xuất bản</t>
  </si>
  <si>
    <t>1. Quan sát cột Trạng thái của các dòng</t>
  </si>
  <si>
    <t>Nhãn hiển thị đúng với dữ liệu; màu sắc và kiểu hiển thị phân biệt được Bản nháp với Xuất bản</t>
  </si>
  <si>
    <t>BMH-T553</t>
  </si>
  <si>
    <t>TC-LLV-QL-POS-017 - Mở màn hình Thêm lịch làm việc từ danh sách</t>
  </si>
  <si>
    <t>1. Nhấn nút Thêm lịch làm việc</t>
  </si>
  <si>
    <t>Chuyển sang màn hình Thêm lịch làm việc</t>
  </si>
  <si>
    <t>BMH-T554</t>
  </si>
  <si>
    <t>TC-LLV-QL-POS-018 - Mở chức năng chỉnh sửa lịch làm việc</t>
  </si>
  <si>
    <t>Đăng nhập Admin; Có lịch trong danh sách</t>
  </si>
  <si>
    <t>1. Nhấn biểu tượng sửa (bút xanh) tại một dòng</t>
  </si>
  <si>
    <t>Mở màn hình Chỉnh sửa lịch làm việc; Bác sĩ, Ngày khám, Thời gian khám, Trạng thái hiển thị đúng dữ liệu hiện tại; các khung giờ của lịch được tích đúng</t>
  </si>
  <si>
    <t>BMH-T555</t>
  </si>
  <si>
    <t>TC-LLV-QL-POS-019 - Cập nhật lịch: bỏ bớt khung giờ</t>
  </si>
  <si>
    <t>Đăng nhập Admin; Có lịch thử nghiệm đã chọn nhiều khung giờ</t>
  </si>
  <si>
    <t>1. Mở chỉnh sửa
2. Bỏ tích một số khung giờ
3. Nhấn Lưu dữ liệu
4. Kiểm tra danh sách</t>
  </si>
  <si>
    <t>Cập nhật thành công; cột Lịch làm việc chỉ còn các khung giờ còn tích, thông tin khác giữ nguyên</t>
  </si>
  <si>
    <t>BMH-T556</t>
  </si>
  <si>
    <t>TC-LLV-QL-POS-020 - Cập nhật lịch: thêm khung giờ</t>
  </si>
  <si>
    <t>Đăng nhập Admin; Có lịch thử nghiệm chưa chọn hết khung giờ</t>
  </si>
  <si>
    <t>1. Mở chỉnh sửa
2. Tích thêm một số khung giờ
3. Nhấn Lưu dữ liệu
4. Kiểm tra danh sách</t>
  </si>
  <si>
    <t>Cột Lịch làm việc hiển thị thêm đúng các khung giờ mới</t>
  </si>
  <si>
    <t>BMH-T557</t>
  </si>
  <si>
    <t>TC-LLV-QL-POS-021 - Cập nhật Ngày khám</t>
  </si>
  <si>
    <t>Đăng nhập Admin; Có lịch thử nghiệm</t>
  </si>
  <si>
    <t>1. Mở chỉnh sửa
2. Chọn ngày khám khác hợp lệ
3. Nhấn Lưu dữ liệu
4. Kiểm tra danh sách</t>
  </si>
  <si>
    <t>Ngày mới hiển thị đúng ở cột Ngày đăng ký; các thông tin khác giữ nguyên</t>
  </si>
  <si>
    <t>BMH-T558</t>
  </si>
  <si>
    <t>TC-LLV-QL-POS-022 - Cập nhật Bác sĩ</t>
  </si>
  <si>
    <t>Đăng nhập Admin; Có lịch thử nghiệm; có bác sĩ khác</t>
  </si>
  <si>
    <t>1. Mở chỉnh sửa
2. Chọn bác sĩ khác
3. Nhấn Lưu dữ liệu
4. Kiểm tra danh sách</t>
  </si>
  <si>
    <t>Nếu hệ thống cho phép đổi, lịch hiển thị đúng bác sĩ mới; nếu không cho, trường bị khóa</t>
  </si>
  <si>
    <t>BMH-T559</t>
  </si>
  <si>
    <t>TC-LLV-QL-POS-023 - Cập nhật Thời gian khám</t>
  </si>
  <si>
    <t>1. Mở chỉnh sửa
2. Đổi Thời gian khám sang lựa chọn khác
3. Nhấn Lưu dữ liệu</t>
  </si>
  <si>
    <t>Thời gian khám được lưu đúng; lưới khung giờ cập nhật tương ứng theo thiết kế</t>
  </si>
  <si>
    <t>BMH-T560</t>
  </si>
  <si>
    <t>TC-LLV-QL-POS-024 - Chuyển trạng thái từ Bản nháp sang Xuất bản</t>
  </si>
  <si>
    <t>1. Mở chỉnh sửa
2. Chọn Trạng thái Xuất bản
3. Nhấn Lưu dữ liệu
4. Kiểm tra danh sách</t>
  </si>
  <si>
    <t>Danh sách hiển thị trạng thái Xuất bản; lọc theo Xuất bản tìm thấy lịch này</t>
  </si>
  <si>
    <t>BMH-T561</t>
  </si>
  <si>
    <t>TC-LLV-QL-POS-025 - Chuyển trạng thái từ Xuất bản sang Bản nháp</t>
  </si>
  <si>
    <t>1. Mở chỉnh sửa
2. Chọn Trạng thái Bản nháp
3. Nhấn Lưu dữ liệu
4. Kiểm tra danh sách</t>
  </si>
  <si>
    <t>Danh sách hiển thị trạng thái Bản nháp; lọc theo Bản nháp tìm thấy lịch này</t>
  </si>
  <si>
    <t>BMH-T563</t>
  </si>
  <si>
    <t>TC-LLV-QL-POS-027 - Quay lại từ màn hình Chỉnh sửa mà không lưu</t>
  </si>
  <si>
    <t>Đăng nhập Admin; Đang ở màn hình Chỉnh sửa</t>
  </si>
  <si>
    <t>Quay về danh sách; dữ liệu lịch không bị thay đổi</t>
  </si>
  <si>
    <t>BMH-T564</t>
  </si>
  <si>
    <t>TC-LLV-QL-POS-028 - Xóa lịch làm việc theo xác nhận</t>
  </si>
  <si>
    <t>Đăng nhập Admin; Có lịch thử nghiệm chưa có bệnh nhân đặt</t>
  </si>
  <si>
    <t>1. Nhấn biểu tượng xóa (thùng rác đỏ)
2. Chọn đồng ý ở hộp thoại xác nhận
3. Kiểm tra danh sách</t>
  </si>
  <si>
    <t>Lịch bị xóa (hoặc chuyển trạng thái theo nghiệp vụ), có thông báo, danh sách cập nhật</t>
  </si>
  <si>
    <t>BMH-T565</t>
  </si>
  <si>
    <t>TC-LLV-QL-POS-029 - Kiểm tra danh sách khi có nhiều lịch</t>
  </si>
  <si>
    <t>Đăng nhập Admin; Có nhiều lịch (vd trên 10 dòng)</t>
  </si>
  <si>
    <t>1. Cuộn xuống cuối danh sách
2. Chuyển trang nếu có phân trang</t>
  </si>
  <si>
    <t>Dữ liệu hiển thị đầy đủ; phân trang hoặc cuộn hoạt động đúng, STT không trùng, không bỏ sót</t>
  </si>
  <si>
    <t>BMH-T566</t>
  </si>
  <si>
    <t>TC-LLV-QL-NEG-001 - Tìm kiếm bằng mã bác sĩ không tồn tại</t>
  </si>
  <si>
    <t>1. Nhập mã không tồn tại (vd TK999999)
2. Nhấn Tìm kiếm</t>
  </si>
  <si>
    <t>Bước 1: TK999999</t>
  </si>
  <si>
    <t>BMH-T567</t>
  </si>
  <si>
    <t>TC-LLV-QL-NEG-002 - Tìm kiếm với ký tự đặc biệt</t>
  </si>
  <si>
    <t>BMH-T568</t>
  </si>
  <si>
    <t>TC-LLV-QL-NEG-003 - Tìm kiếm chỉ với khoảng trắng</t>
  </si>
  <si>
    <t>BMH-T569</t>
  </si>
  <si>
    <t>TC-LLV-QL-NEG-004 - Tìm kiếm với chuỗi quá dài</t>
  </si>
  <si>
    <t>BMH-T570</t>
  </si>
  <si>
    <t>TC-LLV-QL-NEG-005 - Tìm kiếm có khoảng trắng đầu và cuối</t>
  </si>
  <si>
    <t>1. Nhập mã bác sĩ kèm khoảng trắng ở đầu và cuối
2. Nhấn Tìm kiếm</t>
  </si>
  <si>
    <t>Hệ thống bỏ khoảng trắng thừa và vẫn tìm thấy lịch</t>
  </si>
  <si>
    <t>BMH-T571</t>
  </si>
  <si>
    <t>TC-LLV-QL-NEG-006 - Kết hợp mã bác sĩ và trạng thái không có dữ liệu phù hợp</t>
  </si>
  <si>
    <t>Đăng nhập Admin; Có bác sĩ chỉ có lịch Xuất bản</t>
  </si>
  <si>
    <t>1. Nhập mã bác sĩ đó
2. Chọn Trạng thái Bản nháp
3. Nhấn Tìm kiếm</t>
  </si>
  <si>
    <t>BMH-T572</t>
  </si>
  <si>
    <t>TC-LLV-QL-NEG-007 - Cập nhật khi bỏ trống Ngày khám</t>
  </si>
  <si>
    <t>1. Mở chỉnh sửa
2. Xóa trống Ngày khám
3. Nhấn Lưu dữ liệu</t>
  </si>
  <si>
    <t>Không lưu; cảnh báo yêu cầu chọn Ngày khám</t>
  </si>
  <si>
    <t>BMH-T573</t>
  </si>
  <si>
    <t>TC-LLV-QL-NEG-008 - Cập nhật khi nhập Ngày khám sai định dạng</t>
  </si>
  <si>
    <t>1. Mở chỉnh sửa
2. Thử gõ "13/45/2026" hoặc "abc" vào Ngày khám
3. Nhấn Lưu dữ liệu</t>
  </si>
  <si>
    <t>Bước 2: 13/45/2026
Bước 2: abc</t>
  </si>
  <si>
    <t>BMH-T574</t>
  </si>
  <si>
    <t>TC-LLV-QL-NEG-009 - Cập nhật khi bỏ chọn toàn bộ khung giờ rồi Lưu</t>
  </si>
  <si>
    <t>1. Mở chỉnh sửa
2. Nhấn Hủy tất cả
3. Nhấn Lưu dữ liệu</t>
  </si>
  <si>
    <t>Nếu bắt buộc có ít nhất một khung giờ, hệ thống từ chối và thông báo; nếu cho phép, đánh giá theo yêu cầu thực tế</t>
  </si>
  <si>
    <t>BMH-T575</t>
  </si>
  <si>
    <t>TC-LLV-QL-NEG-010 - Cập nhật Ngày khám thành ngày trong quá khứ</t>
  </si>
  <si>
    <t>1. Mở chỉnh sửa
2. Chọn Ngày khám là ngày đã qua
3. Nhấn Lưu dữ liệu</t>
  </si>
  <si>
    <t>Nếu nghiệp vụ không cho phép, hệ thống từ chối và thông báo; nếu cho phép chỉnh lịch cũ, đánh giá theo yêu cầu thực tế</t>
  </si>
  <si>
    <t>BMH-T576</t>
  </si>
  <si>
    <t>TC-LLV-QL-NEG-011 - Cập nhật Ngày khám trùng với lịch khác của cùng bác sĩ</t>
  </si>
  <si>
    <t>Đăng nhập Admin; Bác sĩ đã có lịch ở hai ngày khác nhau</t>
  </si>
  <si>
    <t>1. Mở chỉnh sửa lịch A
2. Đổi Ngày khám thành ngày của lịch B (cùng bác sĩ)
3. Nhấn Lưu dữ liệu</t>
  </si>
  <si>
    <t>Nếu cấm trùng, hệ thống từ chối và thông báo; nếu cho phép, đánh giá theo quy tắc thực tế (gộp hay lưu riêng)</t>
  </si>
  <si>
    <t>BMH-T577</t>
  </si>
  <si>
    <t>TC-LLV-QL-NEG-012 - Bỏ tích khung giờ đã có bệnh nhân đặt khám</t>
  </si>
  <si>
    <t>Đăng nhập Admin; Có lịch có khung giờ đã được đặt khám</t>
  </si>
  <si>
    <t>1. Mở chỉnh sửa
2. Bỏ tích khung giờ đã có lịch hẹn
3. Nhấn Lưu dữ liệu</t>
  </si>
  <si>
    <t>Nếu có ràng buộc, hệ thống từ chối và thông báo; nếu cho phép, lịch hẹn đã đặt vẫn hiển thị đúng, không lỗi</t>
  </si>
  <si>
    <t>BMH-T578</t>
  </si>
  <si>
    <t>TC-LLV-QL-NEG-013 - Nhấn Lưu dữ liệu nhiều lần liên tiếp khi chỉnh sửa</t>
  </si>
  <si>
    <t>1. Mở chỉnh sửa
2. Đổi một thông tin hợp lệ
3. Nhấn Lưu dữ liệu 2 lần liên tiếp nhanh</t>
  </si>
  <si>
    <t>Chỉ cập nhật một lần; không tạo lịch trùng, không lỗi</t>
  </si>
  <si>
    <t>BMH-T580</t>
  </si>
  <si>
    <t>TC-LLV-QL-NEG-015 - Xóa lịch làm việc đã có bệnh nhân đặt khám</t>
  </si>
  <si>
    <t>Đăng nhập Admin; Có lịch đã có bệnh nhân đặt ít nhất 1 khung giờ</t>
  </si>
  <si>
    <t>1. Nhấn biểu tượng xóa tại lịch đó
2. Xác nhận xóa</t>
  </si>
  <si>
    <t>Nếu có ràng buộc dữ liệu, hệ thống từ chối và thông báo; nếu cho xóa, lịch hẹn liên quan vẫn hiển thị đúng, không lỗi</t>
  </si>
  <si>
    <t>BMH-T581</t>
  </si>
  <si>
    <t>Thêm lịch làm việc</t>
  </si>
  <si>
    <t>TC-LLV-ADD-POS-001 - Hiển thị màn hình Thêm lịch làm việc</t>
  </si>
  <si>
    <t>1. Danh sách &gt; nhấn Thêm lịch làm việc</t>
  </si>
  <si>
    <t>Hiển thị đủ Bác sĩ*, Ngày khám*, Thời gian khám*, lưới khung giờ, nút Chọn tất cả, Hủy tất cả; khung bên phải có nút Lưu dữ liệu, Quay lại và dropdown Trạng thái</t>
  </si>
  <si>
    <t>BMH-T582</t>
  </si>
  <si>
    <t>TC-LLV-ADD-POS-002 - Kiểm tra giá trị mặc định của các trường</t>
  </si>
  <si>
    <t>1. Quan sát các trường khi mới mở</t>
  </si>
  <si>
    <t>Bác sĩ chưa chọn ("Chọn bác sĩ"); Ngày khám là ngày hiện tại; Thời gian khám là 10 phút; tất cả khung giờ chưa tích; Trạng thái là Bản nháp</t>
  </si>
  <si>
    <t>BMH-T583</t>
  </si>
  <si>
    <t>TC-LLV-ADD-POS-003 - Thêm lịch làm việc với đầy đủ thông tin hợp lệ</t>
  </si>
  <si>
    <t>Đăng nhập Admin; Có bác sĩ trong hệ thống</t>
  </si>
  <si>
    <t>1. Chọn Bác sĩ
2. Chọn Ngày khám
3. Giữ Thời gian khám 10 phút
4. Tích một số khung giờ
5. Chọn Trạng thái Xuất bản
6. Nhấn Lưu dữ liệu</t>
  </si>
  <si>
    <t>Lưu thành công, có thông báo; lịch mới xuất hiện trong danh sách với thông tin đã nhập</t>
  </si>
  <si>
    <t>BMH-T584</t>
  </si>
  <si>
    <t>TC-LLV-ADD-POS-004 - Thêm lịch với trạng thái Bản nháp</t>
  </si>
  <si>
    <t>1. Chọn Bác sĩ
2. Chọn Ngày khám
3. Tích một số khung giờ
4. Giữ Trạng thái Bản nháp
5. Nhấn Lưu dữ liệu</t>
  </si>
  <si>
    <t>Lưu thành công; danh sách hiển thị lịch với trạng thái Bản nháp</t>
  </si>
  <si>
    <t>BMH-T585</t>
  </si>
  <si>
    <t>TC-LLV-ADD-POS-005 - Thêm lịch với trạng thái Xuất bản</t>
  </si>
  <si>
    <t>1. Chọn Bác sĩ
2. Chọn Ngày khám
3. Tích một số khung giờ
4. Chọn Trạng thái Xuất bản
5. Nhấn Lưu dữ liệu</t>
  </si>
  <si>
    <t>Lưu thành công; danh sách hiển thị lịch với trạng thái Xuất bản</t>
  </si>
  <si>
    <t>BMH-T586</t>
  </si>
  <si>
    <t>TC-LLV-ADD-POS-006 - Kiểm tra danh sách Bác sĩ</t>
  </si>
  <si>
    <t>Đăng nhập Admin; Có nhiều bác sĩ</t>
  </si>
  <si>
    <t>1. Mở dropdown Bác sĩ
2. Chọn một bác sĩ</t>
  </si>
  <si>
    <t>Danh sách hiển thị các bác sĩ hiện có; bác sĩ đã chọn hiển thị trên trường</t>
  </si>
  <si>
    <t>BMH-T587</t>
  </si>
  <si>
    <t>TC-LLV-ADD-POS-007 - Chọn Ngày khám bằng bộ chọn ngày</t>
  </si>
  <si>
    <t>1. Nhấn biểu tượng lịch ở Ngày khám
2. Chọn một ngày</t>
  </si>
  <si>
    <t>Ngày hiển thị đúng định dạng trong trường Ngày khám</t>
  </si>
  <si>
    <t>BMH-T588</t>
  </si>
  <si>
    <t>TC-LLV-ADD-POS-008 - Nhập Ngày khám thủ công đúng định dạng</t>
  </si>
  <si>
    <t>1. Gõ trực tiếp ngày đúng định dạng mm/dd/yyyy vào Ngày khám</t>
  </si>
  <si>
    <t>BMH-T589</t>
  </si>
  <si>
    <t>TC-LLV-ADD-POS-009 - Kiểm tra danh sách Thời gian khám</t>
  </si>
  <si>
    <t>1. Mở dropdown Thời gian khám
2. Chọn một lựa chọn</t>
  </si>
  <si>
    <t>Hiển thị các lựa chọn của hệ thống (hiện thấy 10 phút); lựa chọn đã chọn hiển thị trên trường</t>
  </si>
  <si>
    <t>BMH-T590</t>
  </si>
  <si>
    <t>TC-LLV-ADD-POS-010 - Kiểm tra số lượng và nhãn các khung giờ</t>
  </si>
  <si>
    <t>1. Đếm và đối chiếu các khung giờ trong phần Lịch làm việc</t>
  </si>
  <si>
    <t>Có 51 khung giờ, mỗi khung 10 phút: buổi sáng 7:00-12:00 (30 khung), buổi chiều 13:30-17:00 (21 khung); không có khung 12:00-13:30; nhãn không trùng, không sai</t>
  </si>
  <si>
    <t>BMH-T591</t>
  </si>
  <si>
    <t>TC-LLV-ADD-POS-011 - Tích chọn từng khung giờ</t>
  </si>
  <si>
    <t>1. Tích lần lượt vài khung giờ (vd 7:00-7:10, 9:00-9:10, 14:00-14:10)</t>
  </si>
  <si>
    <t>Bước 1: 7:00-7:10, 9:00-9:10, 14:00-14:10</t>
  </si>
  <si>
    <t>Các khung giờ được tích hiển thị trạng thái chọn; các khung khác giữ nguyên</t>
  </si>
  <si>
    <t>BMH-T592</t>
  </si>
  <si>
    <t>TC-LLV-ADD-POS-012 - Bỏ tích một khung giờ đã chọn</t>
  </si>
  <si>
    <t>Đăng nhập Admin; Đã tích một số khung giờ</t>
  </si>
  <si>
    <t>1. Bỏ tích một khung giờ đang chọn</t>
  </si>
  <si>
    <t>Khung giờ đó trở về chưa chọn; các khung khác giữ nguyên</t>
  </si>
  <si>
    <t>BMH-T593</t>
  </si>
  <si>
    <t>TC-LLV-ADD-POS-013 - Nút Chọn tất cả</t>
  </si>
  <si>
    <t>1. Nhấn nút Chọn tất cả</t>
  </si>
  <si>
    <t>Toàn bộ 51 khung giờ được tích</t>
  </si>
  <si>
    <t>BMH-T594</t>
  </si>
  <si>
    <t>TC-LLV-ADD-POS-014 - Nút Hủy tất cả</t>
  </si>
  <si>
    <t>Đăng nhập Admin; Đã tích một số hoặc toàn bộ khung giờ</t>
  </si>
  <si>
    <t>1. Nhấn nút Hủy tất cả</t>
  </si>
  <si>
    <t>Toàn bộ khung giờ được bỏ tích</t>
  </si>
  <si>
    <t>BMH-T595</t>
  </si>
  <si>
    <t>TC-LLV-ADD-POS-015 - Chọn tất cả rồi bỏ tích một số khung giờ</t>
  </si>
  <si>
    <t>1. Chọn Bác sĩ và Ngày khám
2. Nhấn Chọn tất cả
3. Bỏ tích các khung giờ nghỉ (vd 11:00-12:00)
4. Nhấn Lưu dữ liệu</t>
  </si>
  <si>
    <t>Bước 3: 11:00-12:00</t>
  </si>
  <si>
    <t>Lưu thành công; danh sách hiển thị đúng các khung giờ còn tích</t>
  </si>
  <si>
    <t>BMH-T596</t>
  </si>
  <si>
    <t>TC-LLV-ADD-POS-016 - Thêm lịch chỉ chọn buổi sáng</t>
  </si>
  <si>
    <t>1. Chọn Bác sĩ và Ngày khám
2. Tích các khung giờ từ 7:00 đến 12:00
3. Nhấn Lưu dữ liệu</t>
  </si>
  <si>
    <t>Lưu thành công; danh sách chỉ hiển thị các khung giờ buổi sáng</t>
  </si>
  <si>
    <t>BMH-T597</t>
  </si>
  <si>
    <t>TC-LLV-ADD-POS-017 - Thêm lịch chỉ chọn buổi chiều</t>
  </si>
  <si>
    <t>1. Chọn Bác sĩ và Ngày khám
2. Tích các khung giờ từ 13:30 đến 17:00
3. Nhấn Lưu dữ liệu</t>
  </si>
  <si>
    <t>Lưu thành công; danh sách chỉ hiển thị các khung giờ buổi chiều</t>
  </si>
  <si>
    <t>BMH-T598</t>
  </si>
  <si>
    <t>TC-LLV-ADD-POS-018 - Thêm lịch với các khung giờ không liên tiếp</t>
  </si>
  <si>
    <t>1. Chọn Bác sĩ và Ngày khám
2. Tích các khung giờ cách quãng (vd 7:00-7:10, 8:00-8:10, 15:00-15:10)
3. Nhấn Lưu dữ liệu</t>
  </si>
  <si>
    <t>Bước 2: 7:00-7:10, 8:00-8:10, 15:00-15:10</t>
  </si>
  <si>
    <t>Lưu thành công; danh sách hiển thị đúng các khung giờ đã chọn, không tự thêm khung giờ ở giữa</t>
  </si>
  <si>
    <t>BMH-T599</t>
  </si>
  <si>
    <t>TC-LLV-ADD-POS-019 - Thêm lịch với một khung giờ duy nhất</t>
  </si>
  <si>
    <t>1. Chọn Bác sĩ và Ngày khám
2. Chỉ tích một khung giờ
3. Nhấn Lưu dữ liệu</t>
  </si>
  <si>
    <t>Lưu thành công; danh sách hiển thị đúng một khung giờ</t>
  </si>
  <si>
    <t>BMH-T600</t>
  </si>
  <si>
    <t>TC-LLV-ADD-POS-020 - Thêm lịch cho cùng bác sĩ vào hai ngày khác nhau</t>
  </si>
  <si>
    <t>1. Thêm lịch cho bác sĩ A vào ngày X
2. Thêm lịch cho bác sĩ A vào ngày Y</t>
  </si>
  <si>
    <t>Cả hai lịch được tạo; danh sách hiển thị đúng 2 dòng với ngày khác nhau</t>
  </si>
  <si>
    <t>BMH-T601</t>
  </si>
  <si>
    <t>TC-LLV-ADD-POS-021 - Thêm lịch cho hai bác sĩ khác nhau cùng một ngày</t>
  </si>
  <si>
    <t>Đăng nhập Admin; Có ít nhất 2 bác sĩ</t>
  </si>
  <si>
    <t>1. Thêm lịch cho bác sĩ A vào ngày X
2. Thêm lịch cho bác sĩ B vào ngày X</t>
  </si>
  <si>
    <t>Cả hai lịch được tạo độc lập; khung giờ của bác sĩ này không ảnh hưởng bác sĩ kia</t>
  </si>
  <si>
    <t>BMH-T602</t>
  </si>
  <si>
    <t>TC-LLV-ADD-POS-022 - Kiểm tra lịch mới trong danh sách sau khi lưu</t>
  </si>
  <si>
    <t>Đăng nhập Admin; Đã thêm lịch hợp lệ</t>
  </si>
  <si>
    <t>1. Lưu thành công
2. Mở danh sách
3. Tìm lịch vừa tạo</t>
  </si>
  <si>
    <t>Lịch có đúng mã bác sĩ, tên bác sĩ, ngày, khung giờ đã chọn và trạng thái</t>
  </si>
  <si>
    <t>BMH-T603</t>
  </si>
  <si>
    <t>TC-LLV-ADD-POS-023 - Tìm thấy lịch vừa thêm bằng ô tìm kiếm</t>
  </si>
  <si>
    <t>1. Nhập mã bác sĩ của lịch vừa thêm vào ô tìm kiếm
2. Nhấn Tìm kiếm</t>
  </si>
  <si>
    <t>Lịch vừa thêm xuất hiện trong kết quả</t>
  </si>
  <si>
    <t>BMH-T604</t>
  </si>
  <si>
    <t>TC-LLV-ADD-POS-024 - Đổi Thời gian khám làm thay đổi lưới khung giờ</t>
  </si>
  <si>
    <t>1. Đổi Thời gian khám sang giá trị khác 10 phút (nếu có)
2. Quan sát lưới khung giờ</t>
  </si>
  <si>
    <t>Lưới khung giờ cập nhật theo độ dài mới (hoặc giữ nguyên nếu thiết kế cố định); nhãn khung giờ nhất quán với Thời gian khám</t>
  </si>
  <si>
    <t>BMH-T605</t>
  </si>
  <si>
    <t>TC-LLV-ADD-POS-025 - Lịch Xuất bản khả dụng ở chức năng đặt lịch khám</t>
  </si>
  <si>
    <t>Đăng nhập Admin; Đã thêm lịch Xuất bản; có chức năng đặt lịch khám</t>
  </si>
  <si>
    <t>1. Mở chức năng đặt lịch khám
2. Chọn bác sĩ và ngày của lịch vừa thêm</t>
  </si>
  <si>
    <t>Các khung giờ của lịch Xuất bản hiển thị để chọn; lịch Bản nháp thì không hiển thị</t>
  </si>
  <si>
    <t>BMH-T606</t>
  </si>
  <si>
    <t>TC-LLV-ADD-POS-026 - Quay lại không lưu dữ liệu</t>
  </si>
  <si>
    <t>Quay về danh sách; không tạo lịch mới từ dữ liệu chưa lưu</t>
  </si>
  <si>
    <t>BMH-T607</t>
  </si>
  <si>
    <t>TC-LLV-ADD-NEG-001 - Thiếu Bác sĩ</t>
  </si>
  <si>
    <t>1. Không chọn Bác sĩ
2. Chọn Ngày khám, tích một số khung giờ
3. Nhấn Lưu dữ liệu</t>
  </si>
  <si>
    <t>Không lưu; cảnh báo yêu cầu chọn Bác sĩ</t>
  </si>
  <si>
    <t>BMH-T608</t>
  </si>
  <si>
    <t>TC-LLV-ADD-NEG-002 - Thiếu Ngày khám</t>
  </si>
  <si>
    <t>1. Chọn Bác sĩ
2. Xóa trống Ngày khám
3. Tích một số khung giờ
4. Nhấn Lưu dữ liệu</t>
  </si>
  <si>
    <t>BMH-T609</t>
  </si>
  <si>
    <t>TC-LLV-ADD-NEG-003 - Thời gian khám không thể bỏ trống</t>
  </si>
  <si>
    <t>1. Thử bỏ chọn hoặc để trống Thời gian khám (nếu có thể)
2. Điền các trường còn lại
3. Nhấn Lưu dữ liệu</t>
  </si>
  <si>
    <t>Nếu có thể để trống, hệ thống cảnh báo và không lưu; nếu không thể, trường luôn có giá trị hợp lệ</t>
  </si>
  <si>
    <t>BMH-T610</t>
  </si>
  <si>
    <t>TC-LLV-ADD-NEG-004 - Lưu khi chưa tích khung giờ nào</t>
  </si>
  <si>
    <t>1. Chọn Bác sĩ và Ngày khám
2. Không tích khung giờ nào
3. Nhấn Lưu dữ liệu</t>
  </si>
  <si>
    <t>Hệ thống lưu dữ liệu thành công.</t>
  </si>
  <si>
    <t>BMH-8</t>
  </si>
  <si>
    <t>Kết quả mong đợi viết theo hướng điều kiện; khi báo lỗi BMH-8 được hiểu là bắt buộc chọn ít nhất 1 khung giờ.</t>
  </si>
  <si>
    <t>BMH-T613</t>
  </si>
  <si>
    <t>TC-LLV-ADD-NEG-007 - Ngày khám trong quá khứ</t>
  </si>
  <si>
    <t>1. Chọn Bác sĩ
2. Chọn Ngày khám là ngày đã qua
3. Tích một số khung giờ
4. Nhấn Lưu dữ liệu</t>
  </si>
  <si>
    <t>Hệ thống tạo lịch khám thành công.</t>
  </si>
  <si>
    <t>BMH-9</t>
  </si>
  <si>
    <t>BMH-T614</t>
  </si>
  <si>
    <t>TC-LLV-ADD-NEG-008 - Ngày khám sai định dạng khi gõ tay</t>
  </si>
  <si>
    <t>1. Thử gõ "13/45/2026" hoặc "abc" vào Ngày khám
2. Nhấn Lưu dữ liệu</t>
  </si>
  <si>
    <t>Bước 1: 13/45/2026
Bước 1: abc</t>
  </si>
  <si>
    <t>BMH-T615</t>
  </si>
  <si>
    <t>TC-LLV-ADD-NEG-009 - Ngày khám quá xa trong tương lai</t>
  </si>
  <si>
    <t>1. Chọn Ngày khám năm 2099
2. Điền các trường còn lại
3. Nhấn Lưu dữ liệu</t>
  </si>
  <si>
    <t>Nếu có giới hạn thời gian đặt lịch, hệ thống từ chối và thông báo; nếu không, đánh giá theo yêu cầu thực tế</t>
  </si>
  <si>
    <t>BMH-T617</t>
  </si>
  <si>
    <t>TC-LLV-ADD-NEG-011 - Thêm lịch trùng bác sĩ và ngày đã có</t>
  </si>
  <si>
    <t>Đăng nhập Admin; Bác sĩ A đã có lịch ngày X</t>
  </si>
  <si>
    <t>1. Chọn bác sĩ A
2. Chọn Ngày khám là ngày X
3. Tích một số khung giờ
4. Nhấn Lưu dữ liệu</t>
  </si>
  <si>
    <t>BMH-T618</t>
  </si>
  <si>
    <t>TC-LLV-ADD-NEG-012 - Đổi Thời gian khám sau khi đã tích khung giờ</t>
  </si>
  <si>
    <t>Đăng nhập Admin; Đã tích một số khung giờ; có lựa chọn Thời gian khám khác</t>
  </si>
  <si>
    <t>1. Tích một số khung giờ
2. Đổi Thời gian khám sang giá trị khác
3. Quan sát lưới khung giờ</t>
  </si>
  <si>
    <t>Hệ thống xử lý nhất quán: giữ, xóa hoặc cảnh báo; không lưu khung giờ sai độ dài</t>
  </si>
  <si>
    <t>BMH-T619</t>
  </si>
  <si>
    <t>TC-LLV-ADD-NEG-013 - Khung giờ đã qua trong ngày hôm nay</t>
  </si>
  <si>
    <t>1. Chọn Ngày khám là hôm nay
2. Tích khung giờ đã qua so với giờ hiện tại
3. Nhấn Lưu dữ liệu</t>
  </si>
  <si>
    <t>Nếu nghiệp vụ không cho chọn khung giờ đã qua, hệ thống từ chối và thông báo; nếu cho phép, đánh giá theo yêu cầu thực tế</t>
  </si>
  <si>
    <t>BMH-10</t>
  </si>
  <si>
    <t>BMH-T620</t>
  </si>
  <si>
    <t>TC-LLV-ADD-NEG-014 - Nhấn Lưu dữ liệu nhiều lần liên tiếp</t>
  </si>
  <si>
    <t>1. Nhấn Lưu dữ liệu 2 lần liên tiếp nhanh</t>
  </si>
  <si>
    <t>Chỉ tạo 1 lịch; không sinh bản ghi trùng</t>
  </si>
  <si>
    <t>email: admin@gmail.com
password: 12345678</t>
  </si>
  <si>
    <t>email: admin@gmail.com
password: 12345</t>
  </si>
  <si>
    <t>email: admin1@gmail.com
password: 12345678</t>
  </si>
  <si>
    <t>email: admin@gmail.
password: 12345678</t>
  </si>
  <si>
    <t>password: 1234578</t>
  </si>
  <si>
    <t>email: admin1@gmail.
password: 1234567</t>
  </si>
  <si>
    <t>email: admin1234@gmail.com
password: 12345678</t>
  </si>
  <si>
    <t xml:space="preserve">email: admin@gmail.com
</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</si>
</sst>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charset val="1"/>
    </font>
    <font>
      <b/>
      <sz val="16"/>
      <color rgb="FF1F3864"/>
      <name val="Arial"/>
      <charset val="1"/>
    </font>
    <font>
      <sz val="11"/>
      <color rgb="FF595959"/>
      <name val="Arial"/>
      <charset val="1"/>
    </font>
    <font>
      <b/>
      <sz val="10"/>
      <color rgb="FF000000"/>
      <name val="Arial"/>
      <charset val="1"/>
    </font>
    <font>
      <sz val="10"/>
      <color rgb="FF000000"/>
      <name val="Arial"/>
      <charset val="1"/>
    </font>
    <font>
      <b/>
      <sz val="12"/>
      <color rgb="FF1F3864"/>
      <name val="Arial"/>
      <charset val="1"/>
    </font>
    <font>
      <b/>
      <sz val="10"/>
      <color rgb="FFFFFFFF"/>
      <name val="Arial"/>
      <charset val="1"/>
    </font>
    <font>
      <sz val="10"/>
      <name val="Arial"/>
      <charset val="1"/>
    </font>
  </fonts>
  <fills count="5">
    <fill>
      <patternFill patternType="none"/>
    </fill>
    <fill>
      <patternFill patternType="gray125"/>
    </fill>
    <fill>
      <patternFill patternType="solid">
        <fgColor rgb="FFDEEAF6"/>
        <bgColor rgb="FFF2F2F2"/>
      </patternFill>
    </fill>
    <fill>
      <patternFill patternType="solid">
        <fgColor rgb="FF1F3864"/>
        <bgColor rgb="FF333333"/>
      </patternFill>
    </fill>
    <fill>
      <patternFill patternType="solid">
        <fgColor rgb="FFF2F2F2"/>
        <bgColor rgb="FFDEEAF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xfId="0"/>
    <xf numFmtId="0" fontId="3" fillId="2" borderId="1" xfId="0" applyFont="1" applyFill="1" applyBorder="1" applyAlignment="1">
      <alignment horizontal="left" vertical="center" wrapText="1"/>
    </xf>
    <xf numFmtId="0" fontId="4" fillId="0" borderId="1" xfId="0" applyFont="1" applyBorder="1" applyAlignment="1">
      <alignment horizontal="left" vertical="center" wrapText="1"/>
    </xf>
    <xf numFmtId="0" fontId="5" fillId="0" borderId="0" xfId="0" applyFont="1" applyAlignment="1">
      <alignment horizontal="left" vertical="center" wrapText="1"/>
    </xf>
    <xf numFmtId="0" fontId="6"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10" fontId="4" fillId="0" borderId="1" xfId="0" applyNumberFormat="1" applyFont="1" applyBorder="1" applyAlignment="1">
      <alignment horizontal="center" vertical="center" wrapText="1"/>
    </xf>
    <xf numFmtId="0" fontId="3" fillId="4"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10" fontId="3" fillId="4" borderId="1" xfId="0" applyNumberFormat="1" applyFont="1" applyFill="1" applyBorder="1" applyAlignment="1">
      <alignment horizontal="center" vertical="center" wrapText="1"/>
    </xf>
    <xf numFmtId="0" fontId="7" fillId="0" borderId="1" xfId="0" applyFont="1" applyBorder="1" applyAlignment="1">
      <alignment horizontal="center" vertical="top" wrapText="1"/>
    </xf>
    <xf numFmtId="0" fontId="7" fillId="0" borderId="1" xfId="0" applyFont="1" applyBorder="1" applyAlignment="1">
      <alignment horizontal="left" vertical="top" wrapText="1"/>
    </xf>
    <xf numFmtId="14" fontId="7" fillId="0" borderId="1" xfId="0" applyNumberFormat="1" applyFont="1" applyBorder="1" applyAlignment="1">
      <alignment horizontal="center" vertical="top"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1" fillId="0" borderId="0" xfId="0" applyFont="1" applyBorder="1" applyAlignment="1">
      <alignment horizontal="left" vertical="center" wrapText="1"/>
    </xf>
    <xf numFmtId="0" fontId="2" fillId="0" borderId="0" xfId="0" applyFont="1" applyBorder="1" applyAlignment="1">
      <alignment horizontal="left" vertical="center" wrapText="1"/>
    </xf>
  </cellXfs>
  <cellStyles count="1">
    <cellStyle name="Normal" xfId="0" builtinId="0"/>
  </cellStyles>
  <dxfs count="9">
    <dxf>
      <font>
        <b/>
        <color rgb="FF9C5700"/>
        <name val="Arial"/>
      </font>
      <fill>
        <patternFill>
          <bgColor rgb="FFFFEB9C"/>
        </patternFill>
      </fill>
    </dxf>
    <dxf>
      <font>
        <b/>
        <color rgb="FF9C0006"/>
        <name val="Arial"/>
      </font>
      <fill>
        <patternFill>
          <bgColor rgb="FFFFC7CE"/>
        </patternFill>
      </fill>
    </dxf>
    <dxf>
      <font>
        <b/>
        <color rgb="FF006100"/>
        <name val="Arial"/>
      </font>
      <fill>
        <patternFill>
          <bgColor rgb="FFC6EFCE"/>
        </patternFill>
      </fill>
    </dxf>
    <dxf>
      <font>
        <b/>
        <color rgb="FF9C5700"/>
        <name val="Arial"/>
      </font>
      <fill>
        <patternFill>
          <bgColor rgb="FFFFEB9C"/>
        </patternFill>
      </fill>
    </dxf>
    <dxf>
      <font>
        <b/>
        <color rgb="FF9C0006"/>
        <name val="Arial"/>
      </font>
      <fill>
        <patternFill>
          <bgColor rgb="FFFFC7CE"/>
        </patternFill>
      </fill>
    </dxf>
    <dxf>
      <font>
        <b/>
        <color rgb="FF006100"/>
        <name val="Arial"/>
      </font>
      <fill>
        <patternFill>
          <bgColor rgb="FFC6EFCE"/>
        </patternFill>
      </fill>
    </dxf>
    <dxf>
      <font>
        <b/>
        <color rgb="FF9C5700"/>
        <name val="Arial"/>
      </font>
      <fill>
        <patternFill>
          <bgColor rgb="FFFFEB9C"/>
        </patternFill>
      </fill>
    </dxf>
    <dxf>
      <font>
        <b/>
        <color rgb="FF9C0006"/>
        <name val="Arial"/>
      </font>
      <fill>
        <patternFill>
          <bgColor rgb="FFFFC7CE"/>
        </patternFill>
      </fill>
    </dxf>
    <dxf>
      <font>
        <b/>
        <color rgb="FF006100"/>
        <name val="Arial"/>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2F2F2"/>
      <rgbColor rgb="FFDEEA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3"/>
  <sheetViews>
    <sheetView showGridLines="0" zoomScaleNormal="100" workbookViewId="0">
      <selection sqref="A1:G1"/>
    </sheetView>
  </sheetViews>
  <sheetFormatPr defaultColWidth="8.6328125" defaultRowHeight="14.5" x14ac:dyDescent="0.35"/>
  <cols>
    <col min="1" max="1" width="34" customWidth="1"/>
    <col min="2" max="6" width="13" customWidth="1"/>
    <col min="7" max="7" width="16" customWidth="1"/>
    <col min="8" max="8" width="3" customWidth="1"/>
  </cols>
  <sheetData>
    <row r="1" spans="1:7" ht="25.5" customHeight="1" x14ac:dyDescent="0.35">
      <c r="A1" s="15" t="s">
        <v>0</v>
      </c>
      <c r="B1" s="15"/>
      <c r="C1" s="15"/>
      <c r="D1" s="15"/>
      <c r="E1" s="15"/>
      <c r="F1" s="15"/>
      <c r="G1" s="15"/>
    </row>
    <row r="2" spans="1:7" ht="15" customHeight="1" x14ac:dyDescent="0.35">
      <c r="A2" s="16" t="s">
        <v>1</v>
      </c>
      <c r="B2" s="16"/>
      <c r="C2" s="16"/>
      <c r="D2" s="16"/>
      <c r="E2" s="16"/>
      <c r="F2" s="16"/>
      <c r="G2" s="16"/>
    </row>
    <row r="4" spans="1:7" ht="30" customHeight="1" x14ac:dyDescent="0.35">
      <c r="A4" s="1" t="s">
        <v>2</v>
      </c>
      <c r="B4" s="13" t="s">
        <v>3</v>
      </c>
      <c r="C4" s="13"/>
      <c r="D4" s="13"/>
      <c r="E4" s="13"/>
      <c r="F4" s="13"/>
      <c r="G4" s="13"/>
    </row>
    <row r="5" spans="1:7" ht="18" customHeight="1" x14ac:dyDescent="0.35">
      <c r="A5" s="1" t="s">
        <v>4</v>
      </c>
      <c r="B5" s="13" t="s">
        <v>5</v>
      </c>
      <c r="C5" s="13"/>
      <c r="D5" s="13"/>
      <c r="E5" s="13"/>
      <c r="F5" s="13"/>
      <c r="G5" s="13"/>
    </row>
    <row r="6" spans="1:7" ht="18" customHeight="1" x14ac:dyDescent="0.35">
      <c r="A6" s="1" t="s">
        <v>6</v>
      </c>
      <c r="B6" s="13" t="s">
        <v>7</v>
      </c>
      <c r="C6" s="13"/>
      <c r="D6" s="13"/>
      <c r="E6" s="13"/>
      <c r="F6" s="13"/>
      <c r="G6" s="13"/>
    </row>
    <row r="7" spans="1:7" ht="30" customHeight="1" x14ac:dyDescent="0.35">
      <c r="A7" s="1" t="s">
        <v>8</v>
      </c>
      <c r="B7" s="13" t="s">
        <v>9</v>
      </c>
      <c r="C7" s="13"/>
      <c r="D7" s="13"/>
      <c r="E7" s="13"/>
      <c r="F7" s="13"/>
      <c r="G7" s="13"/>
    </row>
    <row r="9" spans="1:7" ht="15.5" x14ac:dyDescent="0.35">
      <c r="A9" s="3" t="s">
        <v>10</v>
      </c>
    </row>
    <row r="10" spans="1:7" ht="30" customHeight="1" x14ac:dyDescent="0.35">
      <c r="A10" s="4" t="s">
        <v>11</v>
      </c>
      <c r="B10" s="4" t="s">
        <v>12</v>
      </c>
      <c r="C10" s="4" t="s">
        <v>13</v>
      </c>
      <c r="D10" s="4" t="s">
        <v>14</v>
      </c>
      <c r="E10" s="4" t="s">
        <v>15</v>
      </c>
      <c r="F10" s="4" t="s">
        <v>16</v>
      </c>
      <c r="G10" s="4" t="s">
        <v>17</v>
      </c>
    </row>
    <row r="11" spans="1:7" x14ac:dyDescent="0.35">
      <c r="A11" s="2" t="s">
        <v>18</v>
      </c>
      <c r="B11" s="5">
        <f>COUNTIF('Test Case'!$C$2:$C$300,A11)</f>
        <v>9</v>
      </c>
      <c r="C11" s="5">
        <f>COUNTIFS('Test Case'!$C$2:$C$300,$A11,'Test Case'!$M$2:$M$300,"Pass")</f>
        <v>8</v>
      </c>
      <c r="D11" s="5">
        <f>COUNTIFS('Test Case'!$C$2:$C$300,$A11,'Test Case'!$M$2:$M$300,"Fail")</f>
        <v>0</v>
      </c>
      <c r="E11" s="5">
        <f>COUNTIFS('Test Case'!$C$2:$C$300,$A11,'Test Case'!$M$2:$M$300,"Chưa thực thi")</f>
        <v>1</v>
      </c>
      <c r="F11" s="5">
        <f t="shared" ref="F11:F16" si="0">C11+D11</f>
        <v>8</v>
      </c>
      <c r="G11" s="6">
        <f t="shared" ref="G11:G17" si="1">IF(F11=0,0,C11/F11)</f>
        <v>1</v>
      </c>
    </row>
    <row r="12" spans="1:7" x14ac:dyDescent="0.35">
      <c r="A12" s="2" t="s">
        <v>19</v>
      </c>
      <c r="B12" s="5">
        <f>COUNTIF('Test Case'!$C$2:$C$300,A12)</f>
        <v>22</v>
      </c>
      <c r="C12" s="5">
        <f>COUNTIFS('Test Case'!$C$2:$C$300,$A12,'Test Case'!$M$2:$M$300,"Pass")</f>
        <v>21</v>
      </c>
      <c r="D12" s="5">
        <f>COUNTIFS('Test Case'!$C$2:$C$300,$A12,'Test Case'!$M$2:$M$300,"Fail")</f>
        <v>0</v>
      </c>
      <c r="E12" s="5">
        <f>COUNTIFS('Test Case'!$C$2:$C$300,$A12,'Test Case'!$M$2:$M$300,"Chưa thực thi")</f>
        <v>1</v>
      </c>
      <c r="F12" s="5">
        <f t="shared" si="0"/>
        <v>21</v>
      </c>
      <c r="G12" s="6">
        <f t="shared" si="1"/>
        <v>1</v>
      </c>
    </row>
    <row r="13" spans="1:7" x14ac:dyDescent="0.35">
      <c r="A13" s="2" t="s">
        <v>20</v>
      </c>
      <c r="B13" s="5">
        <f>COUNTIF('Test Case'!$C$2:$C$300,A13)</f>
        <v>50</v>
      </c>
      <c r="C13" s="5">
        <f>COUNTIFS('Test Case'!$C$2:$C$300,$A13,'Test Case'!$M$2:$M$300,"Pass")</f>
        <v>50</v>
      </c>
      <c r="D13" s="5">
        <f>COUNTIFS('Test Case'!$C$2:$C$300,$A13,'Test Case'!$M$2:$M$300,"Fail")</f>
        <v>0</v>
      </c>
      <c r="E13" s="5">
        <f>COUNTIFS('Test Case'!$C$2:$C$300,$A13,'Test Case'!$M$2:$M$300,"Chưa thực thi")</f>
        <v>0</v>
      </c>
      <c r="F13" s="5">
        <f t="shared" si="0"/>
        <v>50</v>
      </c>
      <c r="G13" s="6">
        <f t="shared" si="1"/>
        <v>1</v>
      </c>
    </row>
    <row r="14" spans="1:7" x14ac:dyDescent="0.35">
      <c r="A14" s="2" t="s">
        <v>21</v>
      </c>
      <c r="B14" s="5">
        <f>COUNTIF('Test Case'!$C$2:$C$300,A14)</f>
        <v>65</v>
      </c>
      <c r="C14" s="5">
        <f>COUNTIFS('Test Case'!$C$2:$C$300,$A14,'Test Case'!$M$2:$M$300,"Pass")</f>
        <v>65</v>
      </c>
      <c r="D14" s="5">
        <f>COUNTIFS('Test Case'!$C$2:$C$300,$A14,'Test Case'!$M$2:$M$300,"Fail")</f>
        <v>0</v>
      </c>
      <c r="E14" s="5">
        <f>COUNTIFS('Test Case'!$C$2:$C$300,$A14,'Test Case'!$M$2:$M$300,"Chưa thực thi")</f>
        <v>0</v>
      </c>
      <c r="F14" s="5">
        <f t="shared" si="0"/>
        <v>65</v>
      </c>
      <c r="G14" s="6">
        <f t="shared" si="1"/>
        <v>1</v>
      </c>
    </row>
    <row r="15" spans="1:7" x14ac:dyDescent="0.35">
      <c r="A15" s="2" t="s">
        <v>22</v>
      </c>
      <c r="B15" s="5">
        <f>COUNTIF('Test Case'!$C$2:$C$300,A15)</f>
        <v>74</v>
      </c>
      <c r="C15" s="5">
        <f>COUNTIFS('Test Case'!$C$2:$C$300,$A15,'Test Case'!$M$2:$M$300,"Pass")</f>
        <v>69</v>
      </c>
      <c r="D15" s="5">
        <f>COUNTIFS('Test Case'!$C$2:$C$300,$A15,'Test Case'!$M$2:$M$300,"Fail")</f>
        <v>5</v>
      </c>
      <c r="E15" s="5">
        <f>COUNTIFS('Test Case'!$C$2:$C$300,$A15,'Test Case'!$M$2:$M$300,"Chưa thực thi")</f>
        <v>0</v>
      </c>
      <c r="F15" s="5">
        <f t="shared" si="0"/>
        <v>74</v>
      </c>
      <c r="G15" s="6">
        <f t="shared" si="1"/>
        <v>0.93243243243243246</v>
      </c>
    </row>
    <row r="16" spans="1:7" x14ac:dyDescent="0.35">
      <c r="A16" s="2" t="s">
        <v>23</v>
      </c>
      <c r="B16" s="5">
        <f>COUNTIF('Test Case'!$C$2:$C$300,A16)</f>
        <v>79</v>
      </c>
      <c r="C16" s="5">
        <f>COUNTIFS('Test Case'!$C$2:$C$300,$A16,'Test Case'!$M$2:$M$300,"Pass")</f>
        <v>76</v>
      </c>
      <c r="D16" s="5">
        <f>COUNTIFS('Test Case'!$C$2:$C$300,$A16,'Test Case'!$M$2:$M$300,"Fail")</f>
        <v>3</v>
      </c>
      <c r="E16" s="5">
        <f>COUNTIFS('Test Case'!$C$2:$C$300,$A16,'Test Case'!$M$2:$M$300,"Chưa thực thi")</f>
        <v>0</v>
      </c>
      <c r="F16" s="5">
        <f t="shared" si="0"/>
        <v>79</v>
      </c>
      <c r="G16" s="6">
        <f t="shared" si="1"/>
        <v>0.96202531645569622</v>
      </c>
    </row>
    <row r="17" spans="1:7" x14ac:dyDescent="0.35">
      <c r="A17" s="7" t="s">
        <v>24</v>
      </c>
      <c r="B17" s="8">
        <f>SUM(B11:B16)</f>
        <v>299</v>
      </c>
      <c r="C17" s="8">
        <f>SUM(C11:C16)</f>
        <v>289</v>
      </c>
      <c r="D17" s="8">
        <f>SUM(D11:D16)</f>
        <v>8</v>
      </c>
      <c r="E17" s="8">
        <f>SUM(E11:E16)</f>
        <v>2</v>
      </c>
      <c r="F17" s="8">
        <f>SUM(F11:F16)</f>
        <v>297</v>
      </c>
      <c r="G17" s="9">
        <f t="shared" si="1"/>
        <v>0.97306397306397308</v>
      </c>
    </row>
    <row r="19" spans="1:7" ht="15.5" x14ac:dyDescent="0.35">
      <c r="A19" s="3" t="s">
        <v>25</v>
      </c>
    </row>
    <row r="20" spans="1:7" ht="43.5" customHeight="1" x14ac:dyDescent="0.35">
      <c r="A20" s="14" t="s">
        <v>26</v>
      </c>
      <c r="B20" s="14"/>
      <c r="C20" s="14"/>
      <c r="D20" s="14"/>
      <c r="E20" s="14"/>
      <c r="F20" s="14"/>
      <c r="G20" s="14"/>
    </row>
    <row r="21" spans="1:7" ht="43.5" customHeight="1" x14ac:dyDescent="0.35">
      <c r="A21" s="14" t="s">
        <v>27</v>
      </c>
      <c r="B21" s="14"/>
      <c r="C21" s="14"/>
      <c r="D21" s="14"/>
      <c r="E21" s="14"/>
      <c r="F21" s="14"/>
      <c r="G21" s="14"/>
    </row>
    <row r="22" spans="1:7" ht="43.5" customHeight="1" x14ac:dyDescent="0.35">
      <c r="A22" s="14" t="s">
        <v>28</v>
      </c>
      <c r="B22" s="14"/>
      <c r="C22" s="14"/>
      <c r="D22" s="14"/>
      <c r="E22" s="14"/>
      <c r="F22" s="14"/>
      <c r="G22" s="14"/>
    </row>
    <row r="23" spans="1:7" ht="43.5" customHeight="1" x14ac:dyDescent="0.35">
      <c r="A23" s="14" t="s">
        <v>29</v>
      </c>
      <c r="B23" s="14"/>
      <c r="C23" s="14"/>
      <c r="D23" s="14"/>
      <c r="E23" s="14"/>
      <c r="F23" s="14"/>
      <c r="G23" s="14"/>
    </row>
  </sheetData>
  <mergeCells count="10">
    <mergeCell ref="A1:G1"/>
    <mergeCell ref="A2:G2"/>
    <mergeCell ref="B4:G4"/>
    <mergeCell ref="B5:G5"/>
    <mergeCell ref="B6:G6"/>
    <mergeCell ref="B7:G7"/>
    <mergeCell ref="A20:G20"/>
    <mergeCell ref="A21:G21"/>
    <mergeCell ref="A22:G22"/>
    <mergeCell ref="A23:G23"/>
  </mergeCells>
  <pageMargins left="0.75" right="0.75" top="1" bottom="1"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00"/>
  <sheetViews>
    <sheetView tabSelected="1" zoomScaleNormal="100" workbookViewId="0">
      <pane xSplit="2" ySplit="1" topLeftCell="C21" activePane="bottomRight" state="frozen"/>
      <selection pane="topRight" activeCell="C1" sqref="C1"/>
      <selection pane="bottomLeft" activeCell="A2" sqref="A2"/>
      <selection pane="bottomRight" activeCell="A16" sqref="A16"/>
    </sheetView>
  </sheetViews>
  <sheetFormatPr defaultColWidth="8.6328125" defaultRowHeight="14.5" x14ac:dyDescent="0.35"/>
  <cols>
    <col min="1" max="1" width="6" customWidth="1"/>
    <col min="2" max="2" width="11" customWidth="1"/>
    <col min="3" max="4" width="24" customWidth="1"/>
    <col min="5" max="5" width="38" customWidth="1"/>
    <col min="6" max="6" width="13" customWidth="1"/>
    <col min="7" max="7" width="9" customWidth="1"/>
    <col min="8" max="8" width="28" customWidth="1"/>
    <col min="9" max="9" width="48" customWidth="1"/>
    <col min="10" max="10" width="28" customWidth="1"/>
    <col min="11" max="11" width="46" customWidth="1"/>
    <col min="12" max="12" width="34" customWidth="1"/>
    <col min="13" max="14" width="13" customWidth="1"/>
    <col min="15" max="15" width="10" customWidth="1"/>
    <col min="16" max="16" width="34" customWidth="1"/>
  </cols>
  <sheetData>
    <row r="1" spans="1:16" ht="31.5" customHeight="1" x14ac:dyDescent="0.35">
      <c r="A1" s="4" t="s">
        <v>30</v>
      </c>
      <c r="B1" s="4" t="s">
        <v>31</v>
      </c>
      <c r="C1" s="4" t="s">
        <v>11</v>
      </c>
      <c r="D1" s="4" t="s">
        <v>32</v>
      </c>
      <c r="E1" s="4" t="s">
        <v>33</v>
      </c>
      <c r="F1" s="4" t="s">
        <v>34</v>
      </c>
      <c r="G1" s="4" t="s">
        <v>35</v>
      </c>
      <c r="H1" s="4" t="s">
        <v>36</v>
      </c>
      <c r="I1" s="4" t="s">
        <v>37</v>
      </c>
      <c r="J1" s="4" t="s">
        <v>38</v>
      </c>
      <c r="K1" s="4" t="s">
        <v>39</v>
      </c>
      <c r="L1" s="4" t="s">
        <v>40</v>
      </c>
      <c r="M1" s="4" t="s">
        <v>41</v>
      </c>
      <c r="N1" s="4" t="s">
        <v>42</v>
      </c>
      <c r="O1" s="4" t="s">
        <v>43</v>
      </c>
      <c r="P1" s="4" t="s">
        <v>44</v>
      </c>
    </row>
    <row r="2" spans="1:16" ht="63.75" customHeight="1" x14ac:dyDescent="0.35">
      <c r="A2" s="10">
        <v>1</v>
      </c>
      <c r="B2" s="10" t="s">
        <v>45</v>
      </c>
      <c r="C2" s="11" t="s">
        <v>18</v>
      </c>
      <c r="D2" s="11" t="s">
        <v>46</v>
      </c>
      <c r="E2" s="11" t="s">
        <v>47</v>
      </c>
      <c r="F2" s="10" t="s">
        <v>48</v>
      </c>
      <c r="G2" s="10" t="s">
        <v>49</v>
      </c>
      <c r="H2" s="11" t="s">
        <v>50</v>
      </c>
      <c r="I2" s="11" t="s">
        <v>51</v>
      </c>
      <c r="J2" s="11" t="s">
        <v>1349</v>
      </c>
      <c r="K2" s="11" t="s">
        <v>52</v>
      </c>
      <c r="L2" s="11" t="s">
        <v>53</v>
      </c>
      <c r="M2" s="10" t="s">
        <v>13</v>
      </c>
      <c r="N2" s="12">
        <v>46314</v>
      </c>
      <c r="O2" s="10"/>
      <c r="P2" s="11"/>
    </row>
    <row r="3" spans="1:16" ht="63.75" customHeight="1" x14ac:dyDescent="0.35">
      <c r="A3" s="10">
        <v>2</v>
      </c>
      <c r="B3" s="10" t="s">
        <v>54</v>
      </c>
      <c r="C3" s="11" t="s">
        <v>18</v>
      </c>
      <c r="D3" s="11" t="s">
        <v>55</v>
      </c>
      <c r="E3" s="11" t="s">
        <v>56</v>
      </c>
      <c r="F3" s="10" t="s">
        <v>57</v>
      </c>
      <c r="G3" s="10" t="s">
        <v>49</v>
      </c>
      <c r="H3" s="11" t="s">
        <v>58</v>
      </c>
      <c r="I3" s="11" t="s">
        <v>59</v>
      </c>
      <c r="J3" s="11" t="s">
        <v>1350</v>
      </c>
      <c r="K3" s="11" t="s">
        <v>61</v>
      </c>
      <c r="L3" s="11" t="s">
        <v>53</v>
      </c>
      <c r="M3" s="10" t="s">
        <v>13</v>
      </c>
      <c r="N3" s="12">
        <v>46314</v>
      </c>
      <c r="O3" s="10"/>
      <c r="P3" s="11"/>
    </row>
    <row r="4" spans="1:16" ht="48.75" customHeight="1" x14ac:dyDescent="0.35">
      <c r="A4" s="10">
        <v>3</v>
      </c>
      <c r="B4" s="10" t="s">
        <v>90</v>
      </c>
      <c r="C4" s="11" t="s">
        <v>18</v>
      </c>
      <c r="D4" s="11" t="s">
        <v>55</v>
      </c>
      <c r="E4" s="11" t="s">
        <v>91</v>
      </c>
      <c r="F4" s="10" t="s">
        <v>57</v>
      </c>
      <c r="G4" s="10" t="s">
        <v>49</v>
      </c>
      <c r="H4" s="11" t="s">
        <v>58</v>
      </c>
      <c r="I4" s="11" t="s">
        <v>92</v>
      </c>
      <c r="J4" s="11" t="s">
        <v>1352</v>
      </c>
      <c r="K4" s="11" t="s">
        <v>61</v>
      </c>
      <c r="L4" s="11"/>
      <c r="M4" s="10" t="s">
        <v>15</v>
      </c>
      <c r="N4" s="10"/>
      <c r="O4" s="10"/>
      <c r="P4" s="11" t="s">
        <v>93</v>
      </c>
    </row>
    <row r="5" spans="1:16" ht="48.75" customHeight="1" x14ac:dyDescent="0.35">
      <c r="A5" s="10">
        <v>4</v>
      </c>
      <c r="B5" s="10" t="s">
        <v>94</v>
      </c>
      <c r="C5" s="11" t="s">
        <v>18</v>
      </c>
      <c r="D5" s="11" t="s">
        <v>55</v>
      </c>
      <c r="E5" s="11" t="s">
        <v>95</v>
      </c>
      <c r="F5" s="10" t="s">
        <v>57</v>
      </c>
      <c r="G5" s="10" t="s">
        <v>49</v>
      </c>
      <c r="H5" s="11" t="s">
        <v>58</v>
      </c>
      <c r="I5" s="11" t="s">
        <v>96</v>
      </c>
      <c r="J5" s="11" t="s">
        <v>1351</v>
      </c>
      <c r="K5" s="11" t="s">
        <v>61</v>
      </c>
      <c r="L5" s="11" t="s">
        <v>53</v>
      </c>
      <c r="M5" s="10" t="s">
        <v>13</v>
      </c>
      <c r="N5" s="12">
        <v>46314</v>
      </c>
      <c r="O5" s="10"/>
      <c r="P5" s="11"/>
    </row>
    <row r="6" spans="1:16" ht="48.75" customHeight="1" x14ac:dyDescent="0.35">
      <c r="A6" s="10">
        <v>5</v>
      </c>
      <c r="B6" s="10" t="s">
        <v>97</v>
      </c>
      <c r="C6" s="11" t="s">
        <v>18</v>
      </c>
      <c r="D6" s="11" t="s">
        <v>55</v>
      </c>
      <c r="E6" s="11" t="s">
        <v>98</v>
      </c>
      <c r="F6" s="10" t="s">
        <v>57</v>
      </c>
      <c r="G6" s="10" t="s">
        <v>49</v>
      </c>
      <c r="H6" s="11" t="s">
        <v>58</v>
      </c>
      <c r="I6" s="11" t="s">
        <v>99</v>
      </c>
      <c r="J6" s="11" t="s">
        <v>1353</v>
      </c>
      <c r="K6" s="11" t="s">
        <v>61</v>
      </c>
      <c r="L6" s="11" t="s">
        <v>53</v>
      </c>
      <c r="M6" s="10" t="s">
        <v>13</v>
      </c>
      <c r="N6" s="12">
        <v>46314</v>
      </c>
      <c r="O6" s="10"/>
      <c r="P6" s="11"/>
    </row>
    <row r="7" spans="1:16" ht="48.75" customHeight="1" x14ac:dyDescent="0.35">
      <c r="A7" s="10">
        <v>6</v>
      </c>
      <c r="B7" s="10" t="s">
        <v>100</v>
      </c>
      <c r="C7" s="11" t="s">
        <v>18</v>
      </c>
      <c r="D7" s="11" t="s">
        <v>55</v>
      </c>
      <c r="E7" s="11" t="s">
        <v>101</v>
      </c>
      <c r="F7" s="10" t="s">
        <v>57</v>
      </c>
      <c r="G7" s="10" t="s">
        <v>49</v>
      </c>
      <c r="H7" s="11" t="s">
        <v>58</v>
      </c>
      <c r="I7" s="11" t="s">
        <v>102</v>
      </c>
      <c r="J7" s="11" t="s">
        <v>1356</v>
      </c>
      <c r="K7" s="11" t="s">
        <v>61</v>
      </c>
      <c r="L7" s="11" t="s">
        <v>53</v>
      </c>
      <c r="M7" s="10" t="s">
        <v>13</v>
      </c>
      <c r="N7" s="12">
        <v>46314</v>
      </c>
      <c r="O7" s="10"/>
      <c r="P7" s="11"/>
    </row>
    <row r="8" spans="1:16" ht="48.75" customHeight="1" x14ac:dyDescent="0.35">
      <c r="A8" s="10">
        <v>7</v>
      </c>
      <c r="B8" s="10" t="s">
        <v>103</v>
      </c>
      <c r="C8" s="11" t="s">
        <v>18</v>
      </c>
      <c r="D8" s="11" t="s">
        <v>55</v>
      </c>
      <c r="E8" s="11" t="s">
        <v>104</v>
      </c>
      <c r="F8" s="10" t="s">
        <v>57</v>
      </c>
      <c r="G8" s="10" t="s">
        <v>49</v>
      </c>
      <c r="H8" s="11" t="s">
        <v>58</v>
      </c>
      <c r="I8" s="11" t="s">
        <v>105</v>
      </c>
      <c r="J8" s="11" t="s">
        <v>60</v>
      </c>
      <c r="K8" s="11" t="s">
        <v>61</v>
      </c>
      <c r="L8" s="11" t="s">
        <v>53</v>
      </c>
      <c r="M8" s="10" t="s">
        <v>13</v>
      </c>
      <c r="N8" s="12">
        <v>46314</v>
      </c>
      <c r="O8" s="10"/>
      <c r="P8" s="11"/>
    </row>
    <row r="9" spans="1:16" ht="48.75" customHeight="1" x14ac:dyDescent="0.35">
      <c r="A9" s="10">
        <v>8</v>
      </c>
      <c r="B9" s="10" t="s">
        <v>106</v>
      </c>
      <c r="C9" s="11" t="s">
        <v>18</v>
      </c>
      <c r="D9" s="11" t="s">
        <v>55</v>
      </c>
      <c r="E9" s="11" t="s">
        <v>107</v>
      </c>
      <c r="F9" s="10" t="s">
        <v>57</v>
      </c>
      <c r="G9" s="10" t="s">
        <v>49</v>
      </c>
      <c r="H9" s="11" t="s">
        <v>58</v>
      </c>
      <c r="I9" s="11" t="s">
        <v>108</v>
      </c>
      <c r="J9" s="11" t="s">
        <v>1354</v>
      </c>
      <c r="K9" s="11" t="s">
        <v>61</v>
      </c>
      <c r="L9" s="11" t="s">
        <v>53</v>
      </c>
      <c r="M9" s="10" t="s">
        <v>13</v>
      </c>
      <c r="N9" s="12">
        <v>46314</v>
      </c>
      <c r="O9" s="10"/>
      <c r="P9" s="11"/>
    </row>
    <row r="10" spans="1:16" ht="48.75" customHeight="1" x14ac:dyDescent="0.35">
      <c r="A10" s="10">
        <v>9</v>
      </c>
      <c r="B10" s="10" t="s">
        <v>109</v>
      </c>
      <c r="C10" s="11" t="s">
        <v>18</v>
      </c>
      <c r="D10" s="11" t="s">
        <v>55</v>
      </c>
      <c r="E10" s="11" t="s">
        <v>110</v>
      </c>
      <c r="F10" s="10" t="s">
        <v>57</v>
      </c>
      <c r="G10" s="10" t="s">
        <v>49</v>
      </c>
      <c r="H10" s="11" t="s">
        <v>58</v>
      </c>
      <c r="I10" s="11" t="s">
        <v>111</v>
      </c>
      <c r="J10" s="11" t="s">
        <v>1355</v>
      </c>
      <c r="K10" s="11" t="s">
        <v>61</v>
      </c>
      <c r="L10" s="11" t="s">
        <v>53</v>
      </c>
      <c r="M10" s="10" t="s">
        <v>13</v>
      </c>
      <c r="N10" s="12">
        <v>46314</v>
      </c>
      <c r="O10" s="10"/>
      <c r="P10" s="11"/>
    </row>
    <row r="11" spans="1:16" ht="63.75" customHeight="1" x14ac:dyDescent="0.35">
      <c r="A11" s="10">
        <v>10</v>
      </c>
      <c r="B11" s="10" t="s">
        <v>62</v>
      </c>
      <c r="C11" s="11" t="s">
        <v>19</v>
      </c>
      <c r="D11" s="11" t="s">
        <v>63</v>
      </c>
      <c r="E11" s="11" t="s">
        <v>64</v>
      </c>
      <c r="F11" s="10" t="s">
        <v>48</v>
      </c>
      <c r="G11" s="10" t="s">
        <v>49</v>
      </c>
      <c r="H11" s="11" t="s">
        <v>65</v>
      </c>
      <c r="I11" s="11" t="s">
        <v>66</v>
      </c>
      <c r="J11" s="11" t="s">
        <v>60</v>
      </c>
      <c r="K11" s="11" t="s">
        <v>67</v>
      </c>
      <c r="L11" s="11" t="s">
        <v>53</v>
      </c>
      <c r="M11" s="10" t="s">
        <v>13</v>
      </c>
      <c r="N11" s="12">
        <v>46314</v>
      </c>
      <c r="O11" s="10"/>
      <c r="P11" s="11"/>
    </row>
    <row r="12" spans="1:16" ht="78.75" customHeight="1" x14ac:dyDescent="0.35">
      <c r="A12" s="10">
        <v>11</v>
      </c>
      <c r="B12" s="10" t="s">
        <v>68</v>
      </c>
      <c r="C12" s="11" t="s">
        <v>19</v>
      </c>
      <c r="D12" s="11" t="s">
        <v>69</v>
      </c>
      <c r="E12" s="11" t="s">
        <v>70</v>
      </c>
      <c r="F12" s="10" t="s">
        <v>48</v>
      </c>
      <c r="G12" s="10" t="s">
        <v>49</v>
      </c>
      <c r="H12" s="11" t="s">
        <v>71</v>
      </c>
      <c r="I12" s="11" t="s">
        <v>72</v>
      </c>
      <c r="J12" s="11" t="s">
        <v>60</v>
      </c>
      <c r="K12" s="11" t="s">
        <v>73</v>
      </c>
      <c r="L12" s="11" t="s">
        <v>53</v>
      </c>
      <c r="M12" s="10" t="s">
        <v>13</v>
      </c>
      <c r="N12" s="12">
        <v>46314</v>
      </c>
      <c r="O12" s="10"/>
      <c r="P12" s="11"/>
    </row>
    <row r="13" spans="1:16" ht="48.75" customHeight="1" x14ac:dyDescent="0.35">
      <c r="A13" s="10">
        <v>12</v>
      </c>
      <c r="B13" s="10" t="s">
        <v>74</v>
      </c>
      <c r="C13" s="11" t="s">
        <v>19</v>
      </c>
      <c r="D13" s="11" t="s">
        <v>69</v>
      </c>
      <c r="E13" s="11" t="s">
        <v>75</v>
      </c>
      <c r="F13" s="10" t="s">
        <v>48</v>
      </c>
      <c r="G13" s="10" t="s">
        <v>76</v>
      </c>
      <c r="H13" s="11" t="s">
        <v>77</v>
      </c>
      <c r="I13" s="11" t="s">
        <v>78</v>
      </c>
      <c r="J13" s="11" t="s">
        <v>60</v>
      </c>
      <c r="K13" s="11" t="s">
        <v>79</v>
      </c>
      <c r="L13" s="11" t="s">
        <v>53</v>
      </c>
      <c r="M13" s="10" t="s">
        <v>13</v>
      </c>
      <c r="N13" s="12">
        <v>46314</v>
      </c>
      <c r="O13" s="10"/>
      <c r="P13" s="11"/>
    </row>
    <row r="14" spans="1:16" ht="33.75" customHeight="1" x14ac:dyDescent="0.35">
      <c r="A14" s="10">
        <v>13</v>
      </c>
      <c r="B14" s="10" t="s">
        <v>80</v>
      </c>
      <c r="C14" s="11" t="s">
        <v>19</v>
      </c>
      <c r="D14" s="11" t="s">
        <v>69</v>
      </c>
      <c r="E14" s="11" t="s">
        <v>81</v>
      </c>
      <c r="F14" s="10" t="s">
        <v>48</v>
      </c>
      <c r="G14" s="10" t="s">
        <v>76</v>
      </c>
      <c r="H14" s="11" t="s">
        <v>82</v>
      </c>
      <c r="I14" s="11" t="s">
        <v>83</v>
      </c>
      <c r="J14" s="11" t="s">
        <v>60</v>
      </c>
      <c r="K14" s="11" t="s">
        <v>84</v>
      </c>
      <c r="L14" s="11" t="s">
        <v>53</v>
      </c>
      <c r="M14" s="10" t="s">
        <v>13</v>
      </c>
      <c r="N14" s="12">
        <v>46314</v>
      </c>
      <c r="O14" s="10"/>
      <c r="P14" s="11"/>
    </row>
    <row r="15" spans="1:16" ht="33.75" customHeight="1" x14ac:dyDescent="0.35">
      <c r="A15" s="10">
        <v>14</v>
      </c>
      <c r="B15" s="10" t="s">
        <v>85</v>
      </c>
      <c r="C15" s="11" t="s">
        <v>19</v>
      </c>
      <c r="D15" s="11" t="s">
        <v>69</v>
      </c>
      <c r="E15" s="11" t="s">
        <v>86</v>
      </c>
      <c r="F15" s="10" t="s">
        <v>48</v>
      </c>
      <c r="G15" s="10" t="s">
        <v>76</v>
      </c>
      <c r="H15" s="11" t="s">
        <v>87</v>
      </c>
      <c r="I15" s="11" t="s">
        <v>88</v>
      </c>
      <c r="J15" s="11" t="s">
        <v>60</v>
      </c>
      <c r="K15" s="11" t="s">
        <v>89</v>
      </c>
      <c r="L15" s="11" t="s">
        <v>53</v>
      </c>
      <c r="M15" s="10" t="s">
        <v>13</v>
      </c>
      <c r="N15" s="12">
        <v>46314</v>
      </c>
      <c r="O15" s="10"/>
      <c r="P15" s="11"/>
    </row>
    <row r="16" spans="1:16" ht="48.75" customHeight="1" x14ac:dyDescent="0.35">
      <c r="A16" s="10">
        <v>15</v>
      </c>
      <c r="B16" s="10" t="s">
        <v>112</v>
      </c>
      <c r="C16" s="11" t="s">
        <v>19</v>
      </c>
      <c r="D16" s="11" t="s">
        <v>69</v>
      </c>
      <c r="E16" s="11" t="s">
        <v>113</v>
      </c>
      <c r="F16" s="10" t="s">
        <v>48</v>
      </c>
      <c r="G16" s="10" t="s">
        <v>76</v>
      </c>
      <c r="H16" s="11" t="s">
        <v>82</v>
      </c>
      <c r="I16" s="11" t="s">
        <v>114</v>
      </c>
      <c r="J16" s="11" t="s">
        <v>60</v>
      </c>
      <c r="K16" s="11" t="s">
        <v>84</v>
      </c>
      <c r="L16" s="11" t="s">
        <v>53</v>
      </c>
      <c r="M16" s="10" t="s">
        <v>13</v>
      </c>
      <c r="N16" s="12">
        <v>46314</v>
      </c>
      <c r="O16" s="10"/>
      <c r="P16" s="11"/>
    </row>
    <row r="17" spans="1:16" ht="78.75" customHeight="1" x14ac:dyDescent="0.35">
      <c r="A17" s="10">
        <v>16</v>
      </c>
      <c r="B17" s="10" t="s">
        <v>115</v>
      </c>
      <c r="C17" s="11" t="s">
        <v>19</v>
      </c>
      <c r="D17" s="11" t="s">
        <v>69</v>
      </c>
      <c r="E17" s="11" t="s">
        <v>116</v>
      </c>
      <c r="F17" s="10" t="s">
        <v>48</v>
      </c>
      <c r="G17" s="10" t="s">
        <v>49</v>
      </c>
      <c r="H17" s="11" t="s">
        <v>117</v>
      </c>
      <c r="I17" s="11" t="s">
        <v>118</v>
      </c>
      <c r="J17" s="11" t="s">
        <v>60</v>
      </c>
      <c r="K17" s="11" t="s">
        <v>119</v>
      </c>
      <c r="L17" s="11" t="s">
        <v>53</v>
      </c>
      <c r="M17" s="10" t="s">
        <v>13</v>
      </c>
      <c r="N17" s="12">
        <v>46314</v>
      </c>
      <c r="O17" s="10"/>
      <c r="P17" s="11"/>
    </row>
    <row r="18" spans="1:16" ht="108.75" customHeight="1" x14ac:dyDescent="0.35">
      <c r="A18" s="10">
        <v>17</v>
      </c>
      <c r="B18" s="10" t="s">
        <v>120</v>
      </c>
      <c r="C18" s="11" t="s">
        <v>19</v>
      </c>
      <c r="D18" s="11" t="s">
        <v>69</v>
      </c>
      <c r="E18" s="11" t="s">
        <v>121</v>
      </c>
      <c r="F18" s="10" t="s">
        <v>48</v>
      </c>
      <c r="G18" s="10" t="s">
        <v>76</v>
      </c>
      <c r="H18" s="11" t="s">
        <v>122</v>
      </c>
      <c r="I18" s="11" t="s">
        <v>123</v>
      </c>
      <c r="J18" s="11" t="s">
        <v>60</v>
      </c>
      <c r="K18" s="11" t="s">
        <v>124</v>
      </c>
      <c r="L18" s="11" t="s">
        <v>53</v>
      </c>
      <c r="M18" s="10" t="s">
        <v>13</v>
      </c>
      <c r="N18" s="12">
        <v>46314</v>
      </c>
      <c r="O18" s="10"/>
      <c r="P18" s="11"/>
    </row>
    <row r="19" spans="1:16" ht="48.75" customHeight="1" x14ac:dyDescent="0.35">
      <c r="A19" s="10">
        <v>18</v>
      </c>
      <c r="B19" s="10" t="s">
        <v>125</v>
      </c>
      <c r="C19" s="11" t="s">
        <v>19</v>
      </c>
      <c r="D19" s="11" t="s">
        <v>69</v>
      </c>
      <c r="E19" s="11" t="s">
        <v>126</v>
      </c>
      <c r="F19" s="10" t="s">
        <v>57</v>
      </c>
      <c r="G19" s="10" t="s">
        <v>76</v>
      </c>
      <c r="H19" s="11" t="s">
        <v>127</v>
      </c>
      <c r="I19" s="11" t="s">
        <v>128</v>
      </c>
      <c r="J19" s="11" t="s">
        <v>60</v>
      </c>
      <c r="K19" s="11" t="s">
        <v>129</v>
      </c>
      <c r="L19" s="11" t="s">
        <v>53</v>
      </c>
      <c r="M19" s="10" t="s">
        <v>13</v>
      </c>
      <c r="N19" s="12">
        <v>46314</v>
      </c>
      <c r="O19" s="10"/>
      <c r="P19" s="11"/>
    </row>
    <row r="20" spans="1:16" ht="33.75" customHeight="1" x14ac:dyDescent="0.35">
      <c r="A20" s="10">
        <v>19</v>
      </c>
      <c r="B20" s="10" t="s">
        <v>130</v>
      </c>
      <c r="C20" s="11" t="s">
        <v>19</v>
      </c>
      <c r="D20" s="11" t="s">
        <v>69</v>
      </c>
      <c r="E20" s="11" t="s">
        <v>131</v>
      </c>
      <c r="F20" s="10" t="s">
        <v>57</v>
      </c>
      <c r="G20" s="10" t="s">
        <v>76</v>
      </c>
      <c r="H20" s="11" t="s">
        <v>127</v>
      </c>
      <c r="I20" s="11" t="s">
        <v>132</v>
      </c>
      <c r="J20" s="11" t="s">
        <v>60</v>
      </c>
      <c r="K20" s="11" t="s">
        <v>129</v>
      </c>
      <c r="L20" s="11" t="s">
        <v>53</v>
      </c>
      <c r="M20" s="10" t="s">
        <v>13</v>
      </c>
      <c r="N20" s="12">
        <v>46314</v>
      </c>
      <c r="O20" s="10"/>
      <c r="P20" s="11"/>
    </row>
    <row r="21" spans="1:16" ht="33.75" customHeight="1" x14ac:dyDescent="0.35">
      <c r="A21" s="10">
        <v>20</v>
      </c>
      <c r="B21" s="10" t="s">
        <v>133</v>
      </c>
      <c r="C21" s="11" t="s">
        <v>19</v>
      </c>
      <c r="D21" s="11" t="s">
        <v>69</v>
      </c>
      <c r="E21" s="11" t="s">
        <v>134</v>
      </c>
      <c r="F21" s="10" t="s">
        <v>57</v>
      </c>
      <c r="G21" s="10" t="s">
        <v>76</v>
      </c>
      <c r="H21" s="11" t="s">
        <v>127</v>
      </c>
      <c r="I21" s="11" t="s">
        <v>135</v>
      </c>
      <c r="J21" s="11" t="s">
        <v>60</v>
      </c>
      <c r="K21" s="11" t="s">
        <v>129</v>
      </c>
      <c r="L21" s="11" t="s">
        <v>53</v>
      </c>
      <c r="M21" s="10" t="s">
        <v>13</v>
      </c>
      <c r="N21" s="12">
        <v>46314</v>
      </c>
      <c r="O21" s="10"/>
      <c r="P21" s="11"/>
    </row>
    <row r="22" spans="1:16" ht="63.75" customHeight="1" x14ac:dyDescent="0.35">
      <c r="A22" s="10">
        <v>21</v>
      </c>
      <c r="B22" s="10" t="s">
        <v>136</v>
      </c>
      <c r="C22" s="11" t="s">
        <v>19</v>
      </c>
      <c r="D22" s="11" t="s">
        <v>63</v>
      </c>
      <c r="E22" s="11" t="s">
        <v>137</v>
      </c>
      <c r="F22" s="10" t="s">
        <v>57</v>
      </c>
      <c r="G22" s="10" t="s">
        <v>49</v>
      </c>
      <c r="H22" s="11" t="s">
        <v>138</v>
      </c>
      <c r="I22" s="11" t="s">
        <v>139</v>
      </c>
      <c r="J22" s="11" t="s">
        <v>60</v>
      </c>
      <c r="K22" s="11" t="s">
        <v>140</v>
      </c>
      <c r="L22" s="11" t="s">
        <v>53</v>
      </c>
      <c r="M22" s="10" t="s">
        <v>13</v>
      </c>
      <c r="N22" s="12">
        <v>46314</v>
      </c>
      <c r="O22" s="10"/>
      <c r="P22" s="11"/>
    </row>
    <row r="23" spans="1:16" ht="63.75" customHeight="1" x14ac:dyDescent="0.35">
      <c r="A23" s="10">
        <v>22</v>
      </c>
      <c r="B23" s="10" t="s">
        <v>141</v>
      </c>
      <c r="C23" s="11" t="s">
        <v>19</v>
      </c>
      <c r="D23" s="11" t="s">
        <v>63</v>
      </c>
      <c r="E23" s="11" t="s">
        <v>142</v>
      </c>
      <c r="F23" s="10" t="s">
        <v>57</v>
      </c>
      <c r="G23" s="10" t="s">
        <v>49</v>
      </c>
      <c r="H23" s="11" t="s">
        <v>138</v>
      </c>
      <c r="I23" s="11" t="s">
        <v>143</v>
      </c>
      <c r="J23" s="11" t="s">
        <v>60</v>
      </c>
      <c r="K23" s="11" t="s">
        <v>140</v>
      </c>
      <c r="L23" s="11" t="s">
        <v>53</v>
      </c>
      <c r="M23" s="10" t="s">
        <v>13</v>
      </c>
      <c r="N23" s="12">
        <v>46314</v>
      </c>
      <c r="O23" s="10"/>
      <c r="P23" s="11"/>
    </row>
    <row r="24" spans="1:16" ht="63.75" customHeight="1" x14ac:dyDescent="0.35">
      <c r="A24" s="10">
        <v>23</v>
      </c>
      <c r="B24" s="10" t="s">
        <v>144</v>
      </c>
      <c r="C24" s="11" t="s">
        <v>19</v>
      </c>
      <c r="D24" s="11" t="s">
        <v>63</v>
      </c>
      <c r="E24" s="11" t="s">
        <v>145</v>
      </c>
      <c r="F24" s="10" t="s">
        <v>57</v>
      </c>
      <c r="G24" s="10" t="s">
        <v>49</v>
      </c>
      <c r="H24" s="11" t="s">
        <v>138</v>
      </c>
      <c r="I24" s="11" t="s">
        <v>146</v>
      </c>
      <c r="J24" s="11" t="s">
        <v>60</v>
      </c>
      <c r="K24" s="11" t="s">
        <v>140</v>
      </c>
      <c r="L24" s="11" t="s">
        <v>53</v>
      </c>
      <c r="M24" s="10" t="s">
        <v>13</v>
      </c>
      <c r="N24" s="12">
        <v>46314</v>
      </c>
      <c r="O24" s="10"/>
      <c r="P24" s="11"/>
    </row>
    <row r="25" spans="1:16" ht="63.75" customHeight="1" x14ac:dyDescent="0.35">
      <c r="A25" s="10">
        <v>24</v>
      </c>
      <c r="B25" s="10" t="s">
        <v>147</v>
      </c>
      <c r="C25" s="11" t="s">
        <v>19</v>
      </c>
      <c r="D25" s="11" t="s">
        <v>63</v>
      </c>
      <c r="E25" s="11" t="s">
        <v>148</v>
      </c>
      <c r="F25" s="10" t="s">
        <v>57</v>
      </c>
      <c r="G25" s="10" t="s">
        <v>49</v>
      </c>
      <c r="H25" s="11" t="s">
        <v>138</v>
      </c>
      <c r="I25" s="11" t="s">
        <v>149</v>
      </c>
      <c r="J25" s="11" t="s">
        <v>60</v>
      </c>
      <c r="K25" s="11" t="s">
        <v>140</v>
      </c>
      <c r="L25" s="11" t="s">
        <v>53</v>
      </c>
      <c r="M25" s="10" t="s">
        <v>13</v>
      </c>
      <c r="N25" s="12">
        <v>46314</v>
      </c>
      <c r="O25" s="10"/>
      <c r="P25" s="11"/>
    </row>
    <row r="26" spans="1:16" ht="63.75" customHeight="1" x14ac:dyDescent="0.35">
      <c r="A26" s="10">
        <v>25</v>
      </c>
      <c r="B26" s="10" t="s">
        <v>150</v>
      </c>
      <c r="C26" s="11" t="s">
        <v>19</v>
      </c>
      <c r="D26" s="11" t="s">
        <v>63</v>
      </c>
      <c r="E26" s="11" t="s">
        <v>151</v>
      </c>
      <c r="F26" s="10" t="s">
        <v>57</v>
      </c>
      <c r="G26" s="10" t="s">
        <v>49</v>
      </c>
      <c r="H26" s="11" t="s">
        <v>138</v>
      </c>
      <c r="I26" s="11" t="s">
        <v>152</v>
      </c>
      <c r="J26" s="11" t="s">
        <v>60</v>
      </c>
      <c r="K26" s="11" t="s">
        <v>140</v>
      </c>
      <c r="L26" s="11" t="s">
        <v>53</v>
      </c>
      <c r="M26" s="10" t="s">
        <v>13</v>
      </c>
      <c r="N26" s="12">
        <v>46314</v>
      </c>
      <c r="O26" s="10"/>
      <c r="P26" s="11"/>
    </row>
    <row r="27" spans="1:16" ht="63.75" customHeight="1" x14ac:dyDescent="0.35">
      <c r="A27" s="10">
        <v>26</v>
      </c>
      <c r="B27" s="10" t="s">
        <v>153</v>
      </c>
      <c r="C27" s="11" t="s">
        <v>19</v>
      </c>
      <c r="D27" s="11" t="s">
        <v>63</v>
      </c>
      <c r="E27" s="11" t="s">
        <v>154</v>
      </c>
      <c r="F27" s="10" t="s">
        <v>57</v>
      </c>
      <c r="G27" s="10" t="s">
        <v>49</v>
      </c>
      <c r="H27" s="11" t="s">
        <v>138</v>
      </c>
      <c r="I27" s="11" t="s">
        <v>155</v>
      </c>
      <c r="J27" s="11" t="s">
        <v>60</v>
      </c>
      <c r="K27" s="11" t="s">
        <v>140</v>
      </c>
      <c r="L27" s="11" t="s">
        <v>53</v>
      </c>
      <c r="M27" s="10" t="s">
        <v>13</v>
      </c>
      <c r="N27" s="12">
        <v>46314</v>
      </c>
      <c r="O27" s="10"/>
      <c r="P27" s="11"/>
    </row>
    <row r="28" spans="1:16" ht="78.75" customHeight="1" x14ac:dyDescent="0.35">
      <c r="A28" s="10">
        <v>27</v>
      </c>
      <c r="B28" s="10" t="s">
        <v>156</v>
      </c>
      <c r="C28" s="11" t="s">
        <v>19</v>
      </c>
      <c r="D28" s="11" t="s">
        <v>63</v>
      </c>
      <c r="E28" s="11" t="s">
        <v>157</v>
      </c>
      <c r="F28" s="10" t="s">
        <v>57</v>
      </c>
      <c r="G28" s="10" t="s">
        <v>49</v>
      </c>
      <c r="H28" s="11" t="s">
        <v>65</v>
      </c>
      <c r="I28" s="11" t="s">
        <v>158</v>
      </c>
      <c r="J28" s="11" t="s">
        <v>60</v>
      </c>
      <c r="K28" s="11" t="s">
        <v>159</v>
      </c>
      <c r="L28" s="11" t="s">
        <v>53</v>
      </c>
      <c r="M28" s="10" t="s">
        <v>13</v>
      </c>
      <c r="N28" s="12">
        <v>46314</v>
      </c>
      <c r="O28" s="10"/>
      <c r="P28" s="11"/>
    </row>
    <row r="29" spans="1:16" ht="78.75" customHeight="1" x14ac:dyDescent="0.35">
      <c r="A29" s="10">
        <v>28</v>
      </c>
      <c r="B29" s="10" t="s">
        <v>160</v>
      </c>
      <c r="C29" s="11" t="s">
        <v>19</v>
      </c>
      <c r="D29" s="11" t="s">
        <v>63</v>
      </c>
      <c r="E29" s="11" t="s">
        <v>161</v>
      </c>
      <c r="F29" s="10" t="s">
        <v>57</v>
      </c>
      <c r="G29" s="10" t="s">
        <v>49</v>
      </c>
      <c r="H29" s="11" t="s">
        <v>65</v>
      </c>
      <c r="I29" s="11" t="s">
        <v>162</v>
      </c>
      <c r="J29" s="11" t="s">
        <v>60</v>
      </c>
      <c r="K29" s="11" t="s">
        <v>163</v>
      </c>
      <c r="L29" s="11" t="s">
        <v>53</v>
      </c>
      <c r="M29" s="10" t="s">
        <v>13</v>
      </c>
      <c r="N29" s="12">
        <v>46314</v>
      </c>
      <c r="O29" s="10"/>
      <c r="P29" s="11"/>
    </row>
    <row r="30" spans="1:16" ht="78.75" customHeight="1" x14ac:dyDescent="0.35">
      <c r="A30" s="10">
        <v>29</v>
      </c>
      <c r="B30" s="10" t="s">
        <v>164</v>
      </c>
      <c r="C30" s="11" t="s">
        <v>19</v>
      </c>
      <c r="D30" s="11" t="s">
        <v>63</v>
      </c>
      <c r="E30" s="11" t="s">
        <v>165</v>
      </c>
      <c r="F30" s="10" t="s">
        <v>57</v>
      </c>
      <c r="G30" s="10" t="s">
        <v>49</v>
      </c>
      <c r="H30" s="11" t="s">
        <v>65</v>
      </c>
      <c r="I30" s="11" t="s">
        <v>166</v>
      </c>
      <c r="J30" s="11" t="s">
        <v>60</v>
      </c>
      <c r="K30" s="11" t="s">
        <v>167</v>
      </c>
      <c r="L30" s="11" t="s">
        <v>53</v>
      </c>
      <c r="M30" s="10" t="s">
        <v>13</v>
      </c>
      <c r="N30" s="12">
        <v>46314</v>
      </c>
      <c r="O30" s="10"/>
      <c r="P30" s="11"/>
    </row>
    <row r="31" spans="1:16" ht="33.75" customHeight="1" x14ac:dyDescent="0.35">
      <c r="A31" s="10">
        <v>30</v>
      </c>
      <c r="B31" s="10" t="s">
        <v>168</v>
      </c>
      <c r="C31" s="11" t="s">
        <v>20</v>
      </c>
      <c r="D31" s="11" t="s">
        <v>169</v>
      </c>
      <c r="E31" s="11" t="s">
        <v>170</v>
      </c>
      <c r="F31" s="10" t="s">
        <v>48</v>
      </c>
      <c r="G31" s="10" t="s">
        <v>49</v>
      </c>
      <c r="H31" s="11" t="s">
        <v>171</v>
      </c>
      <c r="I31" s="11" t="s">
        <v>172</v>
      </c>
      <c r="J31" s="11" t="s">
        <v>60</v>
      </c>
      <c r="K31" s="11" t="s">
        <v>173</v>
      </c>
      <c r="L31" s="11" t="s">
        <v>53</v>
      </c>
      <c r="M31" s="10" t="s">
        <v>13</v>
      </c>
      <c r="N31" s="12">
        <v>46315</v>
      </c>
      <c r="O31" s="10"/>
      <c r="P31" s="11"/>
    </row>
    <row r="32" spans="1:16" ht="48.75" customHeight="1" x14ac:dyDescent="0.35">
      <c r="A32" s="10">
        <v>31</v>
      </c>
      <c r="B32" s="10" t="s">
        <v>174</v>
      </c>
      <c r="C32" s="11" t="s">
        <v>20</v>
      </c>
      <c r="D32" s="11" t="s">
        <v>169</v>
      </c>
      <c r="E32" s="11" t="s">
        <v>175</v>
      </c>
      <c r="F32" s="10" t="s">
        <v>48</v>
      </c>
      <c r="G32" s="10" t="s">
        <v>76</v>
      </c>
      <c r="H32" s="11" t="s">
        <v>176</v>
      </c>
      <c r="I32" s="11" t="s">
        <v>177</v>
      </c>
      <c r="J32" s="11" t="s">
        <v>60</v>
      </c>
      <c r="K32" s="11" t="s">
        <v>178</v>
      </c>
      <c r="L32" s="11" t="s">
        <v>53</v>
      </c>
      <c r="M32" s="10" t="s">
        <v>13</v>
      </c>
      <c r="N32" s="12">
        <v>46315</v>
      </c>
      <c r="O32" s="10"/>
      <c r="P32" s="11"/>
    </row>
    <row r="33" spans="1:16" ht="33.75" customHeight="1" x14ac:dyDescent="0.35">
      <c r="A33" s="10">
        <v>32</v>
      </c>
      <c r="B33" s="10" t="s">
        <v>179</v>
      </c>
      <c r="C33" s="11" t="s">
        <v>20</v>
      </c>
      <c r="D33" s="11" t="s">
        <v>169</v>
      </c>
      <c r="E33" s="11" t="s">
        <v>180</v>
      </c>
      <c r="F33" s="10" t="s">
        <v>48</v>
      </c>
      <c r="G33" s="10" t="s">
        <v>76</v>
      </c>
      <c r="H33" s="11" t="s">
        <v>181</v>
      </c>
      <c r="I33" s="11" t="s">
        <v>182</v>
      </c>
      <c r="J33" s="11" t="s">
        <v>60</v>
      </c>
      <c r="K33" s="11" t="s">
        <v>183</v>
      </c>
      <c r="L33" s="11" t="s">
        <v>53</v>
      </c>
      <c r="M33" s="10" t="s">
        <v>13</v>
      </c>
      <c r="N33" s="12">
        <v>46315</v>
      </c>
      <c r="O33" s="10"/>
      <c r="P33" s="11"/>
    </row>
    <row r="34" spans="1:16" ht="33.75" customHeight="1" x14ac:dyDescent="0.35">
      <c r="A34" s="10">
        <v>33</v>
      </c>
      <c r="B34" s="10" t="s">
        <v>184</v>
      </c>
      <c r="C34" s="11" t="s">
        <v>20</v>
      </c>
      <c r="D34" s="11" t="s">
        <v>169</v>
      </c>
      <c r="E34" s="11" t="s">
        <v>185</v>
      </c>
      <c r="F34" s="10" t="s">
        <v>48</v>
      </c>
      <c r="G34" s="10" t="s">
        <v>76</v>
      </c>
      <c r="H34" s="11" t="s">
        <v>186</v>
      </c>
      <c r="I34" s="11" t="s">
        <v>187</v>
      </c>
      <c r="J34" s="11" t="s">
        <v>60</v>
      </c>
      <c r="K34" s="11" t="s">
        <v>188</v>
      </c>
      <c r="L34" s="11" t="s">
        <v>53</v>
      </c>
      <c r="M34" s="10" t="s">
        <v>13</v>
      </c>
      <c r="N34" s="12">
        <v>46315</v>
      </c>
      <c r="O34" s="10"/>
      <c r="P34" s="11"/>
    </row>
    <row r="35" spans="1:16" ht="48.75" customHeight="1" x14ac:dyDescent="0.35">
      <c r="A35" s="10">
        <v>34</v>
      </c>
      <c r="B35" s="10" t="s">
        <v>189</v>
      </c>
      <c r="C35" s="11" t="s">
        <v>20</v>
      </c>
      <c r="D35" s="11" t="s">
        <v>169</v>
      </c>
      <c r="E35" s="11" t="s">
        <v>190</v>
      </c>
      <c r="F35" s="10" t="s">
        <v>48</v>
      </c>
      <c r="G35" s="10" t="s">
        <v>76</v>
      </c>
      <c r="H35" s="11" t="s">
        <v>191</v>
      </c>
      <c r="I35" s="11" t="s">
        <v>192</v>
      </c>
      <c r="J35" s="11" t="s">
        <v>60</v>
      </c>
      <c r="K35" s="11" t="s">
        <v>193</v>
      </c>
      <c r="L35" s="11" t="s">
        <v>53</v>
      </c>
      <c r="M35" s="10" t="s">
        <v>13</v>
      </c>
      <c r="N35" s="12">
        <v>46315</v>
      </c>
      <c r="O35" s="10"/>
      <c r="P35" s="11"/>
    </row>
    <row r="36" spans="1:16" ht="78.75" customHeight="1" x14ac:dyDescent="0.35">
      <c r="A36" s="10">
        <v>35</v>
      </c>
      <c r="B36" s="10" t="s">
        <v>194</v>
      </c>
      <c r="C36" s="11" t="s">
        <v>20</v>
      </c>
      <c r="D36" s="11" t="s">
        <v>169</v>
      </c>
      <c r="E36" s="11" t="s">
        <v>195</v>
      </c>
      <c r="F36" s="10" t="s">
        <v>48</v>
      </c>
      <c r="G36" s="10" t="s">
        <v>49</v>
      </c>
      <c r="H36" s="11" t="s">
        <v>196</v>
      </c>
      <c r="I36" s="11" t="s">
        <v>197</v>
      </c>
      <c r="J36" s="11" t="s">
        <v>60</v>
      </c>
      <c r="K36" s="11" t="s">
        <v>198</v>
      </c>
      <c r="L36" s="11" t="s">
        <v>53</v>
      </c>
      <c r="M36" s="10" t="s">
        <v>13</v>
      </c>
      <c r="N36" s="12">
        <v>46315</v>
      </c>
      <c r="O36" s="10"/>
      <c r="P36" s="11"/>
    </row>
    <row r="37" spans="1:16" ht="33.75" customHeight="1" x14ac:dyDescent="0.35">
      <c r="A37" s="10">
        <v>36</v>
      </c>
      <c r="B37" s="10" t="s">
        <v>199</v>
      </c>
      <c r="C37" s="11" t="s">
        <v>20</v>
      </c>
      <c r="D37" s="11" t="s">
        <v>169</v>
      </c>
      <c r="E37" s="11" t="s">
        <v>200</v>
      </c>
      <c r="F37" s="10" t="s">
        <v>57</v>
      </c>
      <c r="G37" s="10" t="s">
        <v>76</v>
      </c>
      <c r="H37" s="11" t="s">
        <v>176</v>
      </c>
      <c r="I37" s="11" t="s">
        <v>201</v>
      </c>
      <c r="J37" s="11" t="s">
        <v>202</v>
      </c>
      <c r="K37" s="11" t="s">
        <v>203</v>
      </c>
      <c r="L37" s="11" t="s">
        <v>53</v>
      </c>
      <c r="M37" s="10" t="s">
        <v>13</v>
      </c>
      <c r="N37" s="12">
        <v>46315</v>
      </c>
      <c r="O37" s="10"/>
      <c r="P37" s="11"/>
    </row>
    <row r="38" spans="1:16" ht="48.75" customHeight="1" x14ac:dyDescent="0.35">
      <c r="A38" s="10">
        <v>37</v>
      </c>
      <c r="B38" s="10" t="s">
        <v>204</v>
      </c>
      <c r="C38" s="11" t="s">
        <v>20</v>
      </c>
      <c r="D38" s="11" t="s">
        <v>205</v>
      </c>
      <c r="E38" s="11" t="s">
        <v>206</v>
      </c>
      <c r="F38" s="10" t="s">
        <v>48</v>
      </c>
      <c r="G38" s="10" t="s">
        <v>49</v>
      </c>
      <c r="H38" s="11" t="s">
        <v>207</v>
      </c>
      <c r="I38" s="11" t="s">
        <v>208</v>
      </c>
      <c r="J38" s="11" t="s">
        <v>60</v>
      </c>
      <c r="K38" s="11" t="s">
        <v>209</v>
      </c>
      <c r="L38" s="11" t="s">
        <v>53</v>
      </c>
      <c r="M38" s="10" t="s">
        <v>13</v>
      </c>
      <c r="N38" s="12">
        <v>46315</v>
      </c>
      <c r="O38" s="10"/>
      <c r="P38" s="11"/>
    </row>
    <row r="39" spans="1:16" ht="33.75" customHeight="1" x14ac:dyDescent="0.35">
      <c r="A39" s="10">
        <v>38</v>
      </c>
      <c r="B39" s="10" t="s">
        <v>210</v>
      </c>
      <c r="C39" s="11" t="s">
        <v>20</v>
      </c>
      <c r="D39" s="11" t="s">
        <v>205</v>
      </c>
      <c r="E39" s="11" t="s">
        <v>211</v>
      </c>
      <c r="F39" s="10" t="s">
        <v>48</v>
      </c>
      <c r="G39" s="10" t="s">
        <v>49</v>
      </c>
      <c r="H39" s="11" t="s">
        <v>212</v>
      </c>
      <c r="I39" s="11" t="s">
        <v>213</v>
      </c>
      <c r="J39" s="11" t="s">
        <v>60</v>
      </c>
      <c r="K39" s="11" t="s">
        <v>214</v>
      </c>
      <c r="L39" s="11" t="s">
        <v>53</v>
      </c>
      <c r="M39" s="10" t="s">
        <v>13</v>
      </c>
      <c r="N39" s="12">
        <v>46315</v>
      </c>
      <c r="O39" s="10"/>
      <c r="P39" s="11"/>
    </row>
    <row r="40" spans="1:16" ht="33.75" customHeight="1" x14ac:dyDescent="0.35">
      <c r="A40" s="10">
        <v>39</v>
      </c>
      <c r="B40" s="10" t="s">
        <v>215</v>
      </c>
      <c r="C40" s="11" t="s">
        <v>20</v>
      </c>
      <c r="D40" s="11" t="s">
        <v>205</v>
      </c>
      <c r="E40" s="11" t="s">
        <v>216</v>
      </c>
      <c r="F40" s="10" t="s">
        <v>48</v>
      </c>
      <c r="G40" s="10" t="s">
        <v>76</v>
      </c>
      <c r="H40" s="11" t="s">
        <v>217</v>
      </c>
      <c r="I40" s="11" t="s">
        <v>218</v>
      </c>
      <c r="J40" s="11" t="s">
        <v>60</v>
      </c>
      <c r="K40" s="11" t="s">
        <v>219</v>
      </c>
      <c r="L40" s="11" t="s">
        <v>53</v>
      </c>
      <c r="M40" s="10" t="s">
        <v>13</v>
      </c>
      <c r="N40" s="12">
        <v>46315</v>
      </c>
      <c r="O40" s="10"/>
      <c r="P40" s="11"/>
    </row>
    <row r="41" spans="1:16" ht="78.75" customHeight="1" x14ac:dyDescent="0.35">
      <c r="A41" s="10">
        <v>40</v>
      </c>
      <c r="B41" s="10" t="s">
        <v>220</v>
      </c>
      <c r="C41" s="11" t="s">
        <v>20</v>
      </c>
      <c r="D41" s="11" t="s">
        <v>169</v>
      </c>
      <c r="E41" s="11" t="s">
        <v>221</v>
      </c>
      <c r="F41" s="10" t="s">
        <v>48</v>
      </c>
      <c r="G41" s="10" t="s">
        <v>49</v>
      </c>
      <c r="H41" s="11" t="s">
        <v>222</v>
      </c>
      <c r="I41" s="11" t="s">
        <v>223</v>
      </c>
      <c r="J41" s="11" t="s">
        <v>60</v>
      </c>
      <c r="K41" s="11" t="s">
        <v>224</v>
      </c>
      <c r="L41" s="11" t="s">
        <v>53</v>
      </c>
      <c r="M41" s="10" t="s">
        <v>13</v>
      </c>
      <c r="N41" s="12">
        <v>46315</v>
      </c>
      <c r="O41" s="10"/>
      <c r="P41" s="11"/>
    </row>
    <row r="42" spans="1:16" ht="33.75" customHeight="1" x14ac:dyDescent="0.35">
      <c r="A42" s="10">
        <v>41</v>
      </c>
      <c r="B42" s="10" t="s">
        <v>225</v>
      </c>
      <c r="C42" s="11" t="s">
        <v>20</v>
      </c>
      <c r="D42" s="11" t="s">
        <v>169</v>
      </c>
      <c r="E42" s="11" t="s">
        <v>226</v>
      </c>
      <c r="F42" s="10" t="s">
        <v>48</v>
      </c>
      <c r="G42" s="10" t="s">
        <v>76</v>
      </c>
      <c r="H42" s="11" t="s">
        <v>227</v>
      </c>
      <c r="I42" s="11" t="s">
        <v>228</v>
      </c>
      <c r="J42" s="11" t="s">
        <v>60</v>
      </c>
      <c r="K42" s="11" t="s">
        <v>229</v>
      </c>
      <c r="L42" s="11" t="s">
        <v>53</v>
      </c>
      <c r="M42" s="10" t="s">
        <v>13</v>
      </c>
      <c r="N42" s="12">
        <v>46315</v>
      </c>
      <c r="O42" s="10"/>
      <c r="P42" s="11"/>
    </row>
    <row r="43" spans="1:16" ht="33.75" customHeight="1" x14ac:dyDescent="0.35">
      <c r="A43" s="10">
        <v>42</v>
      </c>
      <c r="B43" s="10" t="s">
        <v>230</v>
      </c>
      <c r="C43" s="11" t="s">
        <v>20</v>
      </c>
      <c r="D43" s="11" t="s">
        <v>169</v>
      </c>
      <c r="E43" s="11" t="s">
        <v>231</v>
      </c>
      <c r="F43" s="10" t="s">
        <v>48</v>
      </c>
      <c r="G43" s="10" t="s">
        <v>49</v>
      </c>
      <c r="H43" s="11" t="s">
        <v>232</v>
      </c>
      <c r="I43" s="11" t="s">
        <v>233</v>
      </c>
      <c r="J43" s="11" t="s">
        <v>60</v>
      </c>
      <c r="K43" s="11" t="s">
        <v>234</v>
      </c>
      <c r="L43" s="11" t="s">
        <v>53</v>
      </c>
      <c r="M43" s="10" t="s">
        <v>13</v>
      </c>
      <c r="N43" s="12">
        <v>46315</v>
      </c>
      <c r="O43" s="10"/>
      <c r="P43" s="11"/>
    </row>
    <row r="44" spans="1:16" ht="33.75" customHeight="1" x14ac:dyDescent="0.35">
      <c r="A44" s="10">
        <v>43</v>
      </c>
      <c r="B44" s="10" t="s">
        <v>235</v>
      </c>
      <c r="C44" s="11" t="s">
        <v>20</v>
      </c>
      <c r="D44" s="11" t="s">
        <v>169</v>
      </c>
      <c r="E44" s="11" t="s">
        <v>236</v>
      </c>
      <c r="F44" s="10" t="s">
        <v>48</v>
      </c>
      <c r="G44" s="10" t="s">
        <v>49</v>
      </c>
      <c r="H44" s="11" t="s">
        <v>237</v>
      </c>
      <c r="I44" s="11" t="s">
        <v>238</v>
      </c>
      <c r="J44" s="11" t="s">
        <v>60</v>
      </c>
      <c r="K44" s="11" t="s">
        <v>239</v>
      </c>
      <c r="L44" s="11" t="s">
        <v>53</v>
      </c>
      <c r="M44" s="10" t="s">
        <v>13</v>
      </c>
      <c r="N44" s="12">
        <v>46315</v>
      </c>
      <c r="O44" s="10"/>
      <c r="P44" s="11"/>
    </row>
    <row r="45" spans="1:16" ht="33.75" customHeight="1" x14ac:dyDescent="0.35">
      <c r="A45" s="10">
        <v>44</v>
      </c>
      <c r="B45" s="10" t="s">
        <v>240</v>
      </c>
      <c r="C45" s="11" t="s">
        <v>20</v>
      </c>
      <c r="D45" s="11" t="s">
        <v>169</v>
      </c>
      <c r="E45" s="11" t="s">
        <v>241</v>
      </c>
      <c r="F45" s="10" t="s">
        <v>48</v>
      </c>
      <c r="G45" s="10" t="s">
        <v>76</v>
      </c>
      <c r="H45" s="11" t="s">
        <v>242</v>
      </c>
      <c r="I45" s="11" t="s">
        <v>243</v>
      </c>
      <c r="J45" s="11" t="s">
        <v>60</v>
      </c>
      <c r="K45" s="11" t="s">
        <v>244</v>
      </c>
      <c r="L45" s="11" t="s">
        <v>53</v>
      </c>
      <c r="M45" s="10" t="s">
        <v>13</v>
      </c>
      <c r="N45" s="12">
        <v>46315</v>
      </c>
      <c r="O45" s="10"/>
      <c r="P45" s="11"/>
    </row>
    <row r="46" spans="1:16" ht="33.75" customHeight="1" x14ac:dyDescent="0.35">
      <c r="A46" s="10">
        <v>45</v>
      </c>
      <c r="B46" s="10" t="s">
        <v>245</v>
      </c>
      <c r="C46" s="11" t="s">
        <v>20</v>
      </c>
      <c r="D46" s="11" t="s">
        <v>169</v>
      </c>
      <c r="E46" s="11" t="s">
        <v>246</v>
      </c>
      <c r="F46" s="10" t="s">
        <v>48</v>
      </c>
      <c r="G46" s="10" t="s">
        <v>76</v>
      </c>
      <c r="H46" s="11" t="s">
        <v>247</v>
      </c>
      <c r="I46" s="11" t="s">
        <v>248</v>
      </c>
      <c r="J46" s="11" t="s">
        <v>60</v>
      </c>
      <c r="K46" s="11" t="s">
        <v>249</v>
      </c>
      <c r="L46" s="11" t="s">
        <v>53</v>
      </c>
      <c r="M46" s="10" t="s">
        <v>13</v>
      </c>
      <c r="N46" s="12">
        <v>46315</v>
      </c>
      <c r="O46" s="10"/>
      <c r="P46" s="11"/>
    </row>
    <row r="47" spans="1:16" ht="33.75" customHeight="1" x14ac:dyDescent="0.35">
      <c r="A47" s="10">
        <v>46</v>
      </c>
      <c r="B47" s="10" t="s">
        <v>250</v>
      </c>
      <c r="C47" s="11" t="s">
        <v>20</v>
      </c>
      <c r="D47" s="11" t="s">
        <v>169</v>
      </c>
      <c r="E47" s="11" t="s">
        <v>251</v>
      </c>
      <c r="F47" s="10" t="s">
        <v>48</v>
      </c>
      <c r="G47" s="10" t="s">
        <v>76</v>
      </c>
      <c r="H47" s="11" t="s">
        <v>252</v>
      </c>
      <c r="I47" s="11" t="s">
        <v>253</v>
      </c>
      <c r="J47" s="11" t="s">
        <v>60</v>
      </c>
      <c r="K47" s="11" t="s">
        <v>254</v>
      </c>
      <c r="L47" s="11" t="s">
        <v>53</v>
      </c>
      <c r="M47" s="10" t="s">
        <v>13</v>
      </c>
      <c r="N47" s="12">
        <v>46315</v>
      </c>
      <c r="O47" s="10"/>
      <c r="P47" s="11"/>
    </row>
    <row r="48" spans="1:16" ht="48.75" customHeight="1" x14ac:dyDescent="0.35">
      <c r="A48" s="10">
        <v>47</v>
      </c>
      <c r="B48" s="10" t="s">
        <v>255</v>
      </c>
      <c r="C48" s="11" t="s">
        <v>20</v>
      </c>
      <c r="D48" s="11" t="s">
        <v>169</v>
      </c>
      <c r="E48" s="11" t="s">
        <v>256</v>
      </c>
      <c r="F48" s="10" t="s">
        <v>48</v>
      </c>
      <c r="G48" s="10" t="s">
        <v>76</v>
      </c>
      <c r="H48" s="11" t="s">
        <v>257</v>
      </c>
      <c r="I48" s="11" t="s">
        <v>258</v>
      </c>
      <c r="J48" s="11" t="s">
        <v>60</v>
      </c>
      <c r="K48" s="11" t="s">
        <v>259</v>
      </c>
      <c r="L48" s="11" t="s">
        <v>53</v>
      </c>
      <c r="M48" s="10" t="s">
        <v>13</v>
      </c>
      <c r="N48" s="12">
        <v>46315</v>
      </c>
      <c r="O48" s="10"/>
      <c r="P48" s="11"/>
    </row>
    <row r="49" spans="1:16" ht="33.75" customHeight="1" x14ac:dyDescent="0.35">
      <c r="A49" s="10">
        <v>48</v>
      </c>
      <c r="B49" s="10" t="s">
        <v>260</v>
      </c>
      <c r="C49" s="11" t="s">
        <v>20</v>
      </c>
      <c r="D49" s="11" t="s">
        <v>169</v>
      </c>
      <c r="E49" s="11" t="s">
        <v>261</v>
      </c>
      <c r="F49" s="10" t="s">
        <v>48</v>
      </c>
      <c r="G49" s="10" t="s">
        <v>76</v>
      </c>
      <c r="H49" s="11" t="s">
        <v>176</v>
      </c>
      <c r="I49" s="11" t="s">
        <v>262</v>
      </c>
      <c r="J49" s="11" t="s">
        <v>60</v>
      </c>
      <c r="K49" s="11" t="s">
        <v>263</v>
      </c>
      <c r="L49" s="11" t="s">
        <v>53</v>
      </c>
      <c r="M49" s="10" t="s">
        <v>13</v>
      </c>
      <c r="N49" s="12">
        <v>46315</v>
      </c>
      <c r="O49" s="10"/>
      <c r="P49" s="11"/>
    </row>
    <row r="50" spans="1:16" ht="33.75" customHeight="1" x14ac:dyDescent="0.35">
      <c r="A50" s="10">
        <v>49</v>
      </c>
      <c r="B50" s="10" t="s">
        <v>264</v>
      </c>
      <c r="C50" s="11" t="s">
        <v>20</v>
      </c>
      <c r="D50" s="11" t="s">
        <v>169</v>
      </c>
      <c r="E50" s="11" t="s">
        <v>265</v>
      </c>
      <c r="F50" s="10" t="s">
        <v>48</v>
      </c>
      <c r="G50" s="10" t="s">
        <v>76</v>
      </c>
      <c r="H50" s="11" t="s">
        <v>252</v>
      </c>
      <c r="I50" s="11" t="s">
        <v>266</v>
      </c>
      <c r="J50" s="11" t="s">
        <v>60</v>
      </c>
      <c r="K50" s="11" t="s">
        <v>267</v>
      </c>
      <c r="L50" s="11" t="s">
        <v>53</v>
      </c>
      <c r="M50" s="10" t="s">
        <v>13</v>
      </c>
      <c r="N50" s="12">
        <v>46315</v>
      </c>
      <c r="O50" s="10"/>
      <c r="P50" s="11"/>
    </row>
    <row r="51" spans="1:16" ht="63.75" customHeight="1" x14ac:dyDescent="0.35">
      <c r="A51" s="10">
        <v>50</v>
      </c>
      <c r="B51" s="10" t="s">
        <v>268</v>
      </c>
      <c r="C51" s="11" t="s">
        <v>20</v>
      </c>
      <c r="D51" s="11" t="s">
        <v>169</v>
      </c>
      <c r="E51" s="11" t="s">
        <v>269</v>
      </c>
      <c r="F51" s="10" t="s">
        <v>48</v>
      </c>
      <c r="G51" s="10" t="s">
        <v>49</v>
      </c>
      <c r="H51" s="11" t="s">
        <v>252</v>
      </c>
      <c r="I51" s="11" t="s">
        <v>270</v>
      </c>
      <c r="J51" s="11" t="s">
        <v>60</v>
      </c>
      <c r="K51" s="11" t="s">
        <v>271</v>
      </c>
      <c r="L51" s="11" t="s">
        <v>53</v>
      </c>
      <c r="M51" s="10" t="s">
        <v>13</v>
      </c>
      <c r="N51" s="12">
        <v>46315</v>
      </c>
      <c r="O51" s="10"/>
      <c r="P51" s="11"/>
    </row>
    <row r="52" spans="1:16" ht="48.75" customHeight="1" x14ac:dyDescent="0.35">
      <c r="A52" s="10">
        <v>51</v>
      </c>
      <c r="B52" s="10" t="s">
        <v>272</v>
      </c>
      <c r="C52" s="11" t="s">
        <v>20</v>
      </c>
      <c r="D52" s="11" t="s">
        <v>169</v>
      </c>
      <c r="E52" s="11" t="s">
        <v>273</v>
      </c>
      <c r="F52" s="10" t="s">
        <v>48</v>
      </c>
      <c r="G52" s="10" t="s">
        <v>49</v>
      </c>
      <c r="H52" s="11" t="s">
        <v>274</v>
      </c>
      <c r="I52" s="11" t="s">
        <v>275</v>
      </c>
      <c r="J52" s="11" t="s">
        <v>60</v>
      </c>
      <c r="K52" s="11" t="s">
        <v>276</v>
      </c>
      <c r="L52" s="11" t="s">
        <v>53</v>
      </c>
      <c r="M52" s="10" t="s">
        <v>13</v>
      </c>
      <c r="N52" s="12">
        <v>46315</v>
      </c>
      <c r="O52" s="10"/>
      <c r="P52" s="11"/>
    </row>
    <row r="53" spans="1:16" ht="48.75" customHeight="1" x14ac:dyDescent="0.35">
      <c r="A53" s="10">
        <v>52</v>
      </c>
      <c r="B53" s="10" t="s">
        <v>277</v>
      </c>
      <c r="C53" s="11" t="s">
        <v>20</v>
      </c>
      <c r="D53" s="11" t="s">
        <v>169</v>
      </c>
      <c r="E53" s="11" t="s">
        <v>278</v>
      </c>
      <c r="F53" s="10" t="s">
        <v>48</v>
      </c>
      <c r="G53" s="10" t="s">
        <v>76</v>
      </c>
      <c r="H53" s="11" t="s">
        <v>252</v>
      </c>
      <c r="I53" s="11" t="s">
        <v>279</v>
      </c>
      <c r="J53" s="11" t="s">
        <v>60</v>
      </c>
      <c r="K53" s="11" t="s">
        <v>280</v>
      </c>
      <c r="L53" s="11" t="s">
        <v>53</v>
      </c>
      <c r="M53" s="10" t="s">
        <v>13</v>
      </c>
      <c r="N53" s="12">
        <v>46315</v>
      </c>
      <c r="O53" s="10"/>
      <c r="P53" s="11"/>
    </row>
    <row r="54" spans="1:16" ht="33.75" customHeight="1" x14ac:dyDescent="0.35">
      <c r="A54" s="10">
        <v>53</v>
      </c>
      <c r="B54" s="10" t="s">
        <v>281</v>
      </c>
      <c r="C54" s="11" t="s">
        <v>20</v>
      </c>
      <c r="D54" s="11" t="s">
        <v>169</v>
      </c>
      <c r="E54" s="11" t="s">
        <v>282</v>
      </c>
      <c r="F54" s="10" t="s">
        <v>48</v>
      </c>
      <c r="G54" s="10" t="s">
        <v>76</v>
      </c>
      <c r="H54" s="11" t="s">
        <v>283</v>
      </c>
      <c r="I54" s="11" t="s">
        <v>284</v>
      </c>
      <c r="J54" s="11" t="s">
        <v>60</v>
      </c>
      <c r="K54" s="11" t="s">
        <v>285</v>
      </c>
      <c r="L54" s="11" t="s">
        <v>53</v>
      </c>
      <c r="M54" s="10" t="s">
        <v>13</v>
      </c>
      <c r="N54" s="12">
        <v>46315</v>
      </c>
      <c r="O54" s="10"/>
      <c r="P54" s="11"/>
    </row>
    <row r="55" spans="1:16" ht="33.75" customHeight="1" x14ac:dyDescent="0.35">
      <c r="A55" s="10">
        <v>54</v>
      </c>
      <c r="B55" s="10" t="s">
        <v>286</v>
      </c>
      <c r="C55" s="11" t="s">
        <v>20</v>
      </c>
      <c r="D55" s="11" t="s">
        <v>169</v>
      </c>
      <c r="E55" s="11" t="s">
        <v>287</v>
      </c>
      <c r="F55" s="10" t="s">
        <v>48</v>
      </c>
      <c r="G55" s="10" t="s">
        <v>288</v>
      </c>
      <c r="H55" s="11" t="s">
        <v>283</v>
      </c>
      <c r="I55" s="11" t="s">
        <v>289</v>
      </c>
      <c r="J55" s="11" t="s">
        <v>60</v>
      </c>
      <c r="K55" s="11" t="s">
        <v>290</v>
      </c>
      <c r="L55" s="11" t="s">
        <v>53</v>
      </c>
      <c r="M55" s="10" t="s">
        <v>13</v>
      </c>
      <c r="N55" s="12">
        <v>46315</v>
      </c>
      <c r="O55" s="10"/>
      <c r="P55" s="11"/>
    </row>
    <row r="56" spans="1:16" ht="33.75" customHeight="1" x14ac:dyDescent="0.35">
      <c r="A56" s="10">
        <v>55</v>
      </c>
      <c r="B56" s="10" t="s">
        <v>291</v>
      </c>
      <c r="C56" s="11" t="s">
        <v>20</v>
      </c>
      <c r="D56" s="11" t="s">
        <v>169</v>
      </c>
      <c r="E56" s="11" t="s">
        <v>292</v>
      </c>
      <c r="F56" s="10" t="s">
        <v>57</v>
      </c>
      <c r="G56" s="10" t="s">
        <v>76</v>
      </c>
      <c r="H56" s="11" t="s">
        <v>176</v>
      </c>
      <c r="I56" s="11" t="s">
        <v>293</v>
      </c>
      <c r="J56" s="11" t="s">
        <v>60</v>
      </c>
      <c r="K56" s="11" t="s">
        <v>294</v>
      </c>
      <c r="L56" s="11" t="s">
        <v>53</v>
      </c>
      <c r="M56" s="10" t="s">
        <v>13</v>
      </c>
      <c r="N56" s="12">
        <v>46315</v>
      </c>
      <c r="O56" s="10"/>
      <c r="P56" s="11"/>
    </row>
    <row r="57" spans="1:16" ht="48.75" customHeight="1" x14ac:dyDescent="0.35">
      <c r="A57" s="10">
        <v>56</v>
      </c>
      <c r="B57" s="10" t="s">
        <v>295</v>
      </c>
      <c r="C57" s="11" t="s">
        <v>20</v>
      </c>
      <c r="D57" s="11" t="s">
        <v>169</v>
      </c>
      <c r="E57" s="11" t="s">
        <v>296</v>
      </c>
      <c r="F57" s="10" t="s">
        <v>57</v>
      </c>
      <c r="G57" s="10" t="s">
        <v>288</v>
      </c>
      <c r="H57" s="11" t="s">
        <v>176</v>
      </c>
      <c r="I57" s="11" t="s">
        <v>297</v>
      </c>
      <c r="J57" s="11" t="s">
        <v>298</v>
      </c>
      <c r="K57" s="11" t="s">
        <v>299</v>
      </c>
      <c r="L57" s="11" t="s">
        <v>53</v>
      </c>
      <c r="M57" s="10" t="s">
        <v>13</v>
      </c>
      <c r="N57" s="12">
        <v>46315</v>
      </c>
      <c r="O57" s="10"/>
      <c r="P57" s="11"/>
    </row>
    <row r="58" spans="1:16" ht="48.75" customHeight="1" x14ac:dyDescent="0.35">
      <c r="A58" s="10">
        <v>57</v>
      </c>
      <c r="B58" s="10" t="s">
        <v>300</v>
      </c>
      <c r="C58" s="11" t="s">
        <v>20</v>
      </c>
      <c r="D58" s="11" t="s">
        <v>169</v>
      </c>
      <c r="E58" s="11" t="s">
        <v>301</v>
      </c>
      <c r="F58" s="10" t="s">
        <v>57</v>
      </c>
      <c r="G58" s="10" t="s">
        <v>76</v>
      </c>
      <c r="H58" s="11" t="s">
        <v>302</v>
      </c>
      <c r="I58" s="11" t="s">
        <v>303</v>
      </c>
      <c r="J58" s="11" t="s">
        <v>60</v>
      </c>
      <c r="K58" s="11" t="s">
        <v>304</v>
      </c>
      <c r="L58" s="11" t="s">
        <v>53</v>
      </c>
      <c r="M58" s="10" t="s">
        <v>13</v>
      </c>
      <c r="N58" s="12">
        <v>46315</v>
      </c>
      <c r="O58" s="10"/>
      <c r="P58" s="11"/>
    </row>
    <row r="59" spans="1:16" ht="63.75" customHeight="1" x14ac:dyDescent="0.35">
      <c r="A59" s="10">
        <v>58</v>
      </c>
      <c r="B59" s="10" t="s">
        <v>305</v>
      </c>
      <c r="C59" s="11" t="s">
        <v>20</v>
      </c>
      <c r="D59" s="11" t="s">
        <v>169</v>
      </c>
      <c r="E59" s="11" t="s">
        <v>306</v>
      </c>
      <c r="F59" s="10" t="s">
        <v>57</v>
      </c>
      <c r="G59" s="10" t="s">
        <v>288</v>
      </c>
      <c r="H59" s="11" t="s">
        <v>176</v>
      </c>
      <c r="I59" s="11" t="s">
        <v>307</v>
      </c>
      <c r="J59" s="11" t="s">
        <v>308</v>
      </c>
      <c r="K59" s="11" t="s">
        <v>309</v>
      </c>
      <c r="L59" s="11" t="s">
        <v>53</v>
      </c>
      <c r="M59" s="10" t="s">
        <v>13</v>
      </c>
      <c r="N59" s="12">
        <v>46315</v>
      </c>
      <c r="O59" s="10"/>
      <c r="P59" s="11"/>
    </row>
    <row r="60" spans="1:16" ht="48.75" customHeight="1" x14ac:dyDescent="0.35">
      <c r="A60" s="10">
        <v>59</v>
      </c>
      <c r="B60" s="10" t="s">
        <v>310</v>
      </c>
      <c r="C60" s="11" t="s">
        <v>20</v>
      </c>
      <c r="D60" s="11" t="s">
        <v>169</v>
      </c>
      <c r="E60" s="11" t="s">
        <v>311</v>
      </c>
      <c r="F60" s="10" t="s">
        <v>57</v>
      </c>
      <c r="G60" s="10" t="s">
        <v>76</v>
      </c>
      <c r="H60" s="11" t="s">
        <v>257</v>
      </c>
      <c r="I60" s="11" t="s">
        <v>312</v>
      </c>
      <c r="J60" s="11" t="s">
        <v>60</v>
      </c>
      <c r="K60" s="11" t="s">
        <v>313</v>
      </c>
      <c r="L60" s="11" t="s">
        <v>53</v>
      </c>
      <c r="M60" s="10" t="s">
        <v>13</v>
      </c>
      <c r="N60" s="12">
        <v>46315</v>
      </c>
      <c r="O60" s="10"/>
      <c r="P60" s="11"/>
    </row>
    <row r="61" spans="1:16" ht="48.75" customHeight="1" x14ac:dyDescent="0.35">
      <c r="A61" s="10">
        <v>60</v>
      </c>
      <c r="B61" s="10" t="s">
        <v>314</v>
      </c>
      <c r="C61" s="11" t="s">
        <v>20</v>
      </c>
      <c r="D61" s="11" t="s">
        <v>169</v>
      </c>
      <c r="E61" s="11" t="s">
        <v>315</v>
      </c>
      <c r="F61" s="10" t="s">
        <v>57</v>
      </c>
      <c r="G61" s="10" t="s">
        <v>49</v>
      </c>
      <c r="H61" s="11" t="s">
        <v>252</v>
      </c>
      <c r="I61" s="11" t="s">
        <v>316</v>
      </c>
      <c r="J61" s="11" t="s">
        <v>60</v>
      </c>
      <c r="K61" s="11" t="s">
        <v>317</v>
      </c>
      <c r="L61" s="11" t="s">
        <v>53</v>
      </c>
      <c r="M61" s="10" t="s">
        <v>13</v>
      </c>
      <c r="N61" s="12">
        <v>46315</v>
      </c>
      <c r="O61" s="10"/>
      <c r="P61" s="11"/>
    </row>
    <row r="62" spans="1:16" ht="63.75" customHeight="1" x14ac:dyDescent="0.35">
      <c r="A62" s="10">
        <v>61</v>
      </c>
      <c r="B62" s="10" t="s">
        <v>318</v>
      </c>
      <c r="C62" s="11" t="s">
        <v>20</v>
      </c>
      <c r="D62" s="11" t="s">
        <v>205</v>
      </c>
      <c r="E62" s="11" t="s">
        <v>319</v>
      </c>
      <c r="F62" s="10" t="s">
        <v>48</v>
      </c>
      <c r="G62" s="10" t="s">
        <v>76</v>
      </c>
      <c r="H62" s="11" t="s">
        <v>320</v>
      </c>
      <c r="I62" s="11" t="s">
        <v>321</v>
      </c>
      <c r="J62" s="11" t="s">
        <v>60</v>
      </c>
      <c r="K62" s="11" t="s">
        <v>322</v>
      </c>
      <c r="L62" s="11" t="s">
        <v>53</v>
      </c>
      <c r="M62" s="10" t="s">
        <v>13</v>
      </c>
      <c r="N62" s="12">
        <v>46315</v>
      </c>
      <c r="O62" s="10"/>
      <c r="P62" s="11"/>
    </row>
    <row r="63" spans="1:16" ht="108.75" customHeight="1" x14ac:dyDescent="0.35">
      <c r="A63" s="10">
        <v>62</v>
      </c>
      <c r="B63" s="10" t="s">
        <v>323</v>
      </c>
      <c r="C63" s="11" t="s">
        <v>20</v>
      </c>
      <c r="D63" s="11" t="s">
        <v>205</v>
      </c>
      <c r="E63" s="11" t="s">
        <v>324</v>
      </c>
      <c r="F63" s="10" t="s">
        <v>48</v>
      </c>
      <c r="G63" s="10" t="s">
        <v>49</v>
      </c>
      <c r="H63" s="11" t="s">
        <v>325</v>
      </c>
      <c r="I63" s="11" t="s">
        <v>326</v>
      </c>
      <c r="J63" s="11" t="s">
        <v>60</v>
      </c>
      <c r="K63" s="11" t="s">
        <v>327</v>
      </c>
      <c r="L63" s="11" t="s">
        <v>53</v>
      </c>
      <c r="M63" s="10" t="s">
        <v>13</v>
      </c>
      <c r="N63" s="12">
        <v>46315</v>
      </c>
      <c r="O63" s="10"/>
      <c r="P63" s="11"/>
    </row>
    <row r="64" spans="1:16" ht="33.75" customHeight="1" x14ac:dyDescent="0.35">
      <c r="A64" s="10">
        <v>63</v>
      </c>
      <c r="B64" s="10" t="s">
        <v>328</v>
      </c>
      <c r="C64" s="11" t="s">
        <v>20</v>
      </c>
      <c r="D64" s="11" t="s">
        <v>205</v>
      </c>
      <c r="E64" s="11" t="s">
        <v>329</v>
      </c>
      <c r="F64" s="10" t="s">
        <v>48</v>
      </c>
      <c r="G64" s="10" t="s">
        <v>76</v>
      </c>
      <c r="H64" s="11" t="s">
        <v>330</v>
      </c>
      <c r="I64" s="11" t="s">
        <v>331</v>
      </c>
      <c r="J64" s="11" t="s">
        <v>60</v>
      </c>
      <c r="K64" s="11" t="s">
        <v>332</v>
      </c>
      <c r="L64" s="11" t="s">
        <v>53</v>
      </c>
      <c r="M64" s="10" t="s">
        <v>13</v>
      </c>
      <c r="N64" s="12">
        <v>46315</v>
      </c>
      <c r="O64" s="10"/>
      <c r="P64" s="11"/>
    </row>
    <row r="65" spans="1:16" ht="33.75" customHeight="1" x14ac:dyDescent="0.35">
      <c r="A65" s="10">
        <v>64</v>
      </c>
      <c r="B65" s="10" t="s">
        <v>333</v>
      </c>
      <c r="C65" s="11" t="s">
        <v>20</v>
      </c>
      <c r="D65" s="11" t="s">
        <v>205</v>
      </c>
      <c r="E65" s="11" t="s">
        <v>334</v>
      </c>
      <c r="F65" s="10" t="s">
        <v>48</v>
      </c>
      <c r="G65" s="10" t="s">
        <v>76</v>
      </c>
      <c r="H65" s="11" t="s">
        <v>335</v>
      </c>
      <c r="I65" s="11" t="s">
        <v>336</v>
      </c>
      <c r="J65" s="11" t="s">
        <v>60</v>
      </c>
      <c r="K65" s="11" t="s">
        <v>337</v>
      </c>
      <c r="L65" s="11" t="s">
        <v>53</v>
      </c>
      <c r="M65" s="10" t="s">
        <v>13</v>
      </c>
      <c r="N65" s="12">
        <v>46315</v>
      </c>
      <c r="O65" s="10"/>
      <c r="P65" s="11"/>
    </row>
    <row r="66" spans="1:16" ht="33.75" customHeight="1" x14ac:dyDescent="0.35">
      <c r="A66" s="10">
        <v>65</v>
      </c>
      <c r="B66" s="10" t="s">
        <v>338</v>
      </c>
      <c r="C66" s="11" t="s">
        <v>20</v>
      </c>
      <c r="D66" s="11" t="s">
        <v>205</v>
      </c>
      <c r="E66" s="11" t="s">
        <v>339</v>
      </c>
      <c r="F66" s="10" t="s">
        <v>48</v>
      </c>
      <c r="G66" s="10" t="s">
        <v>288</v>
      </c>
      <c r="H66" s="11" t="s">
        <v>335</v>
      </c>
      <c r="I66" s="11" t="s">
        <v>340</v>
      </c>
      <c r="J66" s="11" t="s">
        <v>60</v>
      </c>
      <c r="K66" s="11" t="s">
        <v>341</v>
      </c>
      <c r="L66" s="11" t="s">
        <v>53</v>
      </c>
      <c r="M66" s="10" t="s">
        <v>13</v>
      </c>
      <c r="N66" s="12">
        <v>46315</v>
      </c>
      <c r="O66" s="10"/>
      <c r="P66" s="11"/>
    </row>
    <row r="67" spans="1:16" ht="33.75" customHeight="1" x14ac:dyDescent="0.35">
      <c r="A67" s="10">
        <v>66</v>
      </c>
      <c r="B67" s="10" t="s">
        <v>342</v>
      </c>
      <c r="C67" s="11" t="s">
        <v>20</v>
      </c>
      <c r="D67" s="11" t="s">
        <v>205</v>
      </c>
      <c r="E67" s="11" t="s">
        <v>343</v>
      </c>
      <c r="F67" s="10" t="s">
        <v>48</v>
      </c>
      <c r="G67" s="10" t="s">
        <v>76</v>
      </c>
      <c r="H67" s="11" t="s">
        <v>344</v>
      </c>
      <c r="I67" s="11" t="s">
        <v>345</v>
      </c>
      <c r="J67" s="11" t="s">
        <v>60</v>
      </c>
      <c r="K67" s="11" t="s">
        <v>346</v>
      </c>
      <c r="L67" s="11" t="s">
        <v>53</v>
      </c>
      <c r="M67" s="10" t="s">
        <v>13</v>
      </c>
      <c r="N67" s="12">
        <v>46315</v>
      </c>
      <c r="O67" s="10"/>
      <c r="P67" s="11"/>
    </row>
    <row r="68" spans="1:16" ht="33.75" customHeight="1" x14ac:dyDescent="0.35">
      <c r="A68" s="10">
        <v>67</v>
      </c>
      <c r="B68" s="10" t="s">
        <v>347</v>
      </c>
      <c r="C68" s="11" t="s">
        <v>20</v>
      </c>
      <c r="D68" s="11" t="s">
        <v>205</v>
      </c>
      <c r="E68" s="11" t="s">
        <v>348</v>
      </c>
      <c r="F68" s="10" t="s">
        <v>48</v>
      </c>
      <c r="G68" s="10" t="s">
        <v>76</v>
      </c>
      <c r="H68" s="11" t="s">
        <v>335</v>
      </c>
      <c r="I68" s="11" t="s">
        <v>349</v>
      </c>
      <c r="J68" s="11" t="s">
        <v>60</v>
      </c>
      <c r="K68" s="11" t="s">
        <v>350</v>
      </c>
      <c r="L68" s="11" t="s">
        <v>53</v>
      </c>
      <c r="M68" s="10" t="s">
        <v>13</v>
      </c>
      <c r="N68" s="12">
        <v>46315</v>
      </c>
      <c r="O68" s="10"/>
      <c r="P68" s="11"/>
    </row>
    <row r="69" spans="1:16" ht="33.75" customHeight="1" x14ac:dyDescent="0.35">
      <c r="A69" s="10">
        <v>68</v>
      </c>
      <c r="B69" s="10" t="s">
        <v>351</v>
      </c>
      <c r="C69" s="11" t="s">
        <v>20</v>
      </c>
      <c r="D69" s="11" t="s">
        <v>205</v>
      </c>
      <c r="E69" s="11" t="s">
        <v>352</v>
      </c>
      <c r="F69" s="10" t="s">
        <v>48</v>
      </c>
      <c r="G69" s="10" t="s">
        <v>76</v>
      </c>
      <c r="H69" s="11" t="s">
        <v>335</v>
      </c>
      <c r="I69" s="11" t="s">
        <v>349</v>
      </c>
      <c r="J69" s="11" t="s">
        <v>60</v>
      </c>
      <c r="K69" s="11" t="s">
        <v>353</v>
      </c>
      <c r="L69" s="11" t="s">
        <v>53</v>
      </c>
      <c r="M69" s="10" t="s">
        <v>13</v>
      </c>
      <c r="N69" s="12">
        <v>46315</v>
      </c>
      <c r="O69" s="10"/>
      <c r="P69" s="11"/>
    </row>
    <row r="70" spans="1:16" ht="33.75" customHeight="1" x14ac:dyDescent="0.35">
      <c r="A70" s="10">
        <v>69</v>
      </c>
      <c r="B70" s="10" t="s">
        <v>354</v>
      </c>
      <c r="C70" s="11" t="s">
        <v>20</v>
      </c>
      <c r="D70" s="11" t="s">
        <v>205</v>
      </c>
      <c r="E70" s="11" t="s">
        <v>355</v>
      </c>
      <c r="F70" s="10" t="s">
        <v>48</v>
      </c>
      <c r="G70" s="10" t="s">
        <v>76</v>
      </c>
      <c r="H70" s="11" t="s">
        <v>335</v>
      </c>
      <c r="I70" s="11" t="s">
        <v>356</v>
      </c>
      <c r="J70" s="11" t="s">
        <v>60</v>
      </c>
      <c r="K70" s="11" t="s">
        <v>357</v>
      </c>
      <c r="L70" s="11" t="s">
        <v>53</v>
      </c>
      <c r="M70" s="10" t="s">
        <v>13</v>
      </c>
      <c r="N70" s="12">
        <v>46315</v>
      </c>
      <c r="O70" s="10"/>
      <c r="P70" s="11"/>
    </row>
    <row r="71" spans="1:16" ht="48.75" customHeight="1" x14ac:dyDescent="0.35">
      <c r="A71" s="10">
        <v>70</v>
      </c>
      <c r="B71" s="10" t="s">
        <v>358</v>
      </c>
      <c r="C71" s="11" t="s">
        <v>20</v>
      </c>
      <c r="D71" s="11" t="s">
        <v>205</v>
      </c>
      <c r="E71" s="11" t="s">
        <v>359</v>
      </c>
      <c r="F71" s="10" t="s">
        <v>57</v>
      </c>
      <c r="G71" s="10" t="s">
        <v>49</v>
      </c>
      <c r="H71" s="11" t="s">
        <v>335</v>
      </c>
      <c r="I71" s="11" t="s">
        <v>360</v>
      </c>
      <c r="J71" s="11" t="s">
        <v>60</v>
      </c>
      <c r="K71" s="11" t="s">
        <v>361</v>
      </c>
      <c r="L71" s="11" t="s">
        <v>53</v>
      </c>
      <c r="M71" s="10" t="s">
        <v>13</v>
      </c>
      <c r="N71" s="12">
        <v>46315</v>
      </c>
      <c r="O71" s="10"/>
      <c r="P71" s="11"/>
    </row>
    <row r="72" spans="1:16" ht="48.75" customHeight="1" x14ac:dyDescent="0.35">
      <c r="A72" s="10">
        <v>71</v>
      </c>
      <c r="B72" s="10" t="s">
        <v>362</v>
      </c>
      <c r="C72" s="11" t="s">
        <v>20</v>
      </c>
      <c r="D72" s="11" t="s">
        <v>205</v>
      </c>
      <c r="E72" s="11" t="s">
        <v>363</v>
      </c>
      <c r="F72" s="10" t="s">
        <v>57</v>
      </c>
      <c r="G72" s="10" t="s">
        <v>49</v>
      </c>
      <c r="H72" s="11" t="s">
        <v>335</v>
      </c>
      <c r="I72" s="11" t="s">
        <v>364</v>
      </c>
      <c r="J72" s="11" t="s">
        <v>60</v>
      </c>
      <c r="K72" s="11" t="s">
        <v>365</v>
      </c>
      <c r="L72" s="11" t="s">
        <v>53</v>
      </c>
      <c r="M72" s="10" t="s">
        <v>13</v>
      </c>
      <c r="N72" s="12">
        <v>46315</v>
      </c>
      <c r="O72" s="10"/>
      <c r="P72" s="11"/>
    </row>
    <row r="73" spans="1:16" ht="48.75" customHeight="1" x14ac:dyDescent="0.35">
      <c r="A73" s="10">
        <v>72</v>
      </c>
      <c r="B73" s="10" t="s">
        <v>366</v>
      </c>
      <c r="C73" s="11" t="s">
        <v>20</v>
      </c>
      <c r="D73" s="11" t="s">
        <v>205</v>
      </c>
      <c r="E73" s="11" t="s">
        <v>367</v>
      </c>
      <c r="F73" s="10" t="s">
        <v>57</v>
      </c>
      <c r="G73" s="10" t="s">
        <v>49</v>
      </c>
      <c r="H73" s="11" t="s">
        <v>335</v>
      </c>
      <c r="I73" s="11" t="s">
        <v>368</v>
      </c>
      <c r="J73" s="11" t="s">
        <v>60</v>
      </c>
      <c r="K73" s="11" t="s">
        <v>369</v>
      </c>
      <c r="L73" s="11" t="s">
        <v>53</v>
      </c>
      <c r="M73" s="10" t="s">
        <v>13</v>
      </c>
      <c r="N73" s="12">
        <v>46315</v>
      </c>
      <c r="O73" s="10"/>
      <c r="P73" s="11"/>
    </row>
    <row r="74" spans="1:16" ht="48.75" customHeight="1" x14ac:dyDescent="0.35">
      <c r="A74" s="10">
        <v>73</v>
      </c>
      <c r="B74" s="10" t="s">
        <v>370</v>
      </c>
      <c r="C74" s="11" t="s">
        <v>20</v>
      </c>
      <c r="D74" s="11" t="s">
        <v>205</v>
      </c>
      <c r="E74" s="11" t="s">
        <v>371</v>
      </c>
      <c r="F74" s="10" t="s">
        <v>57</v>
      </c>
      <c r="G74" s="10" t="s">
        <v>49</v>
      </c>
      <c r="H74" s="11" t="s">
        <v>335</v>
      </c>
      <c r="I74" s="11" t="s">
        <v>372</v>
      </c>
      <c r="J74" s="11" t="s">
        <v>60</v>
      </c>
      <c r="K74" s="11" t="s">
        <v>373</v>
      </c>
      <c r="L74" s="11" t="s">
        <v>53</v>
      </c>
      <c r="M74" s="10" t="s">
        <v>13</v>
      </c>
      <c r="N74" s="12">
        <v>46315</v>
      </c>
      <c r="O74" s="10"/>
      <c r="P74" s="11"/>
    </row>
    <row r="75" spans="1:16" ht="48.75" customHeight="1" x14ac:dyDescent="0.35">
      <c r="A75" s="10">
        <v>74</v>
      </c>
      <c r="B75" s="10" t="s">
        <v>374</v>
      </c>
      <c r="C75" s="11" t="s">
        <v>20</v>
      </c>
      <c r="D75" s="11" t="s">
        <v>205</v>
      </c>
      <c r="E75" s="11" t="s">
        <v>375</v>
      </c>
      <c r="F75" s="10" t="s">
        <v>57</v>
      </c>
      <c r="G75" s="10" t="s">
        <v>49</v>
      </c>
      <c r="H75" s="11" t="s">
        <v>335</v>
      </c>
      <c r="I75" s="11" t="s">
        <v>376</v>
      </c>
      <c r="J75" s="11" t="s">
        <v>60</v>
      </c>
      <c r="K75" s="11" t="s">
        <v>377</v>
      </c>
      <c r="L75" s="11" t="s">
        <v>53</v>
      </c>
      <c r="M75" s="10" t="s">
        <v>13</v>
      </c>
      <c r="N75" s="12">
        <v>46315</v>
      </c>
      <c r="O75" s="10"/>
      <c r="P75" s="11"/>
    </row>
    <row r="76" spans="1:16" ht="33.75" customHeight="1" x14ac:dyDescent="0.35">
      <c r="A76" s="10">
        <v>75</v>
      </c>
      <c r="B76" s="10" t="s">
        <v>378</v>
      </c>
      <c r="C76" s="11" t="s">
        <v>20</v>
      </c>
      <c r="D76" s="11" t="s">
        <v>205</v>
      </c>
      <c r="E76" s="11" t="s">
        <v>379</v>
      </c>
      <c r="F76" s="10" t="s">
        <v>57</v>
      </c>
      <c r="G76" s="10" t="s">
        <v>49</v>
      </c>
      <c r="H76" s="11" t="s">
        <v>335</v>
      </c>
      <c r="I76" s="11" t="s">
        <v>380</v>
      </c>
      <c r="J76" s="11" t="s">
        <v>60</v>
      </c>
      <c r="K76" s="11" t="s">
        <v>381</v>
      </c>
      <c r="L76" s="11" t="s">
        <v>53</v>
      </c>
      <c r="M76" s="10" t="s">
        <v>13</v>
      </c>
      <c r="N76" s="12">
        <v>46315</v>
      </c>
      <c r="O76" s="10"/>
      <c r="P76" s="11"/>
    </row>
    <row r="77" spans="1:16" ht="63.75" customHeight="1" x14ac:dyDescent="0.35">
      <c r="A77" s="10">
        <v>76</v>
      </c>
      <c r="B77" s="10" t="s">
        <v>382</v>
      </c>
      <c r="C77" s="11" t="s">
        <v>20</v>
      </c>
      <c r="D77" s="11" t="s">
        <v>205</v>
      </c>
      <c r="E77" s="11" t="s">
        <v>383</v>
      </c>
      <c r="F77" s="10" t="s">
        <v>57</v>
      </c>
      <c r="G77" s="10" t="s">
        <v>76</v>
      </c>
      <c r="H77" s="11" t="s">
        <v>384</v>
      </c>
      <c r="I77" s="11" t="s">
        <v>385</v>
      </c>
      <c r="J77" s="11" t="s">
        <v>60</v>
      </c>
      <c r="K77" s="11" t="s">
        <v>386</v>
      </c>
      <c r="L77" s="11" t="s">
        <v>53</v>
      </c>
      <c r="M77" s="10" t="s">
        <v>13</v>
      </c>
      <c r="N77" s="12">
        <v>46315</v>
      </c>
      <c r="O77" s="10"/>
      <c r="P77" s="11"/>
    </row>
    <row r="78" spans="1:16" ht="48.75" customHeight="1" x14ac:dyDescent="0.35">
      <c r="A78" s="10">
        <v>77</v>
      </c>
      <c r="B78" s="10" t="s">
        <v>387</v>
      </c>
      <c r="C78" s="11" t="s">
        <v>20</v>
      </c>
      <c r="D78" s="11" t="s">
        <v>205</v>
      </c>
      <c r="E78" s="11" t="s">
        <v>388</v>
      </c>
      <c r="F78" s="10" t="s">
        <v>57</v>
      </c>
      <c r="G78" s="10" t="s">
        <v>76</v>
      </c>
      <c r="H78" s="11" t="s">
        <v>384</v>
      </c>
      <c r="I78" s="11" t="s">
        <v>389</v>
      </c>
      <c r="J78" s="11" t="s">
        <v>60</v>
      </c>
      <c r="K78" s="11" t="s">
        <v>390</v>
      </c>
      <c r="L78" s="11" t="s">
        <v>53</v>
      </c>
      <c r="M78" s="10" t="s">
        <v>13</v>
      </c>
      <c r="N78" s="12">
        <v>46315</v>
      </c>
      <c r="O78" s="10"/>
      <c r="P78" s="11"/>
    </row>
    <row r="79" spans="1:16" ht="33.75" customHeight="1" x14ac:dyDescent="0.35">
      <c r="A79" s="10">
        <v>78</v>
      </c>
      <c r="B79" s="10" t="s">
        <v>391</v>
      </c>
      <c r="C79" s="11" t="s">
        <v>20</v>
      </c>
      <c r="D79" s="11" t="s">
        <v>205</v>
      </c>
      <c r="E79" s="11" t="s">
        <v>392</v>
      </c>
      <c r="F79" s="10" t="s">
        <v>57</v>
      </c>
      <c r="G79" s="10" t="s">
        <v>76</v>
      </c>
      <c r="H79" s="11" t="s">
        <v>393</v>
      </c>
      <c r="I79" s="11" t="s">
        <v>394</v>
      </c>
      <c r="J79" s="11" t="s">
        <v>60</v>
      </c>
      <c r="K79" s="11" t="s">
        <v>395</v>
      </c>
      <c r="L79" s="11" t="s">
        <v>53</v>
      </c>
      <c r="M79" s="10" t="s">
        <v>13</v>
      </c>
      <c r="N79" s="12">
        <v>46315</v>
      </c>
      <c r="O79" s="10"/>
      <c r="P79" s="11"/>
    </row>
    <row r="80" spans="1:16" ht="48.75" customHeight="1" x14ac:dyDescent="0.35">
      <c r="A80" s="10">
        <v>79</v>
      </c>
      <c r="B80" s="10" t="s">
        <v>396</v>
      </c>
      <c r="C80" s="11" t="s">
        <v>20</v>
      </c>
      <c r="D80" s="11" t="s">
        <v>205</v>
      </c>
      <c r="E80" s="11" t="s">
        <v>397</v>
      </c>
      <c r="F80" s="10" t="s">
        <v>57</v>
      </c>
      <c r="G80" s="10" t="s">
        <v>76</v>
      </c>
      <c r="H80" s="11" t="s">
        <v>398</v>
      </c>
      <c r="I80" s="11" t="s">
        <v>399</v>
      </c>
      <c r="J80" s="11" t="s">
        <v>60</v>
      </c>
      <c r="K80" s="11" t="s">
        <v>400</v>
      </c>
      <c r="L80" s="11" t="s">
        <v>53</v>
      </c>
      <c r="M80" s="10" t="s">
        <v>13</v>
      </c>
      <c r="N80" s="12">
        <v>46315</v>
      </c>
      <c r="O80" s="10"/>
      <c r="P80" s="11"/>
    </row>
    <row r="81" spans="1:16" ht="48.75" customHeight="1" x14ac:dyDescent="0.35">
      <c r="A81" s="10">
        <v>80</v>
      </c>
      <c r="B81" s="10" t="s">
        <v>401</v>
      </c>
      <c r="C81" s="11" t="s">
        <v>19</v>
      </c>
      <c r="D81" s="11" t="s">
        <v>63</v>
      </c>
      <c r="E81" s="11" t="s">
        <v>402</v>
      </c>
      <c r="F81" s="10" t="s">
        <v>57</v>
      </c>
      <c r="G81" s="10" t="s">
        <v>49</v>
      </c>
      <c r="H81" s="11" t="s">
        <v>138</v>
      </c>
      <c r="I81" s="11" t="s">
        <v>403</v>
      </c>
      <c r="J81" s="11" t="s">
        <v>60</v>
      </c>
      <c r="K81" s="11" t="s">
        <v>140</v>
      </c>
      <c r="L81" s="11" t="s">
        <v>53</v>
      </c>
      <c r="M81" s="10" t="s">
        <v>13</v>
      </c>
      <c r="N81" s="12">
        <v>46314</v>
      </c>
      <c r="O81" s="10"/>
      <c r="P81" s="11"/>
    </row>
    <row r="82" spans="1:16" ht="48.75" customHeight="1" x14ac:dyDescent="0.35">
      <c r="A82" s="10">
        <v>81</v>
      </c>
      <c r="B82" s="10" t="s">
        <v>404</v>
      </c>
      <c r="C82" s="11" t="s">
        <v>19</v>
      </c>
      <c r="D82" s="11" t="s">
        <v>69</v>
      </c>
      <c r="E82" s="11" t="s">
        <v>405</v>
      </c>
      <c r="F82" s="10" t="s">
        <v>48</v>
      </c>
      <c r="G82" s="10" t="s">
        <v>49</v>
      </c>
      <c r="H82" s="11" t="s">
        <v>71</v>
      </c>
      <c r="I82" s="11" t="s">
        <v>406</v>
      </c>
      <c r="J82" s="11" t="s">
        <v>60</v>
      </c>
      <c r="K82" s="11" t="s">
        <v>407</v>
      </c>
      <c r="L82" s="11"/>
      <c r="M82" s="10" t="s">
        <v>15</v>
      </c>
      <c r="N82" s="10"/>
      <c r="O82" s="10"/>
      <c r="P82" s="11" t="s">
        <v>93</v>
      </c>
    </row>
    <row r="83" spans="1:16" ht="63.75" customHeight="1" x14ac:dyDescent="0.35">
      <c r="A83" s="10">
        <v>82</v>
      </c>
      <c r="B83" s="10" t="s">
        <v>408</v>
      </c>
      <c r="C83" s="11" t="s">
        <v>21</v>
      </c>
      <c r="D83" s="11" t="s">
        <v>409</v>
      </c>
      <c r="E83" s="11" t="s">
        <v>410</v>
      </c>
      <c r="F83" s="10" t="s">
        <v>48</v>
      </c>
      <c r="G83" s="10" t="s">
        <v>49</v>
      </c>
      <c r="H83" s="11" t="s">
        <v>411</v>
      </c>
      <c r="I83" s="11" t="s">
        <v>412</v>
      </c>
      <c r="J83" s="11" t="s">
        <v>60</v>
      </c>
      <c r="K83" s="11" t="s">
        <v>413</v>
      </c>
      <c r="L83" s="11" t="s">
        <v>53</v>
      </c>
      <c r="M83" s="10" t="s">
        <v>13</v>
      </c>
      <c r="N83" s="12">
        <v>46315</v>
      </c>
      <c r="O83" s="10"/>
      <c r="P83" s="11"/>
    </row>
    <row r="84" spans="1:16" ht="33.75" customHeight="1" x14ac:dyDescent="0.35">
      <c r="A84" s="10">
        <v>83</v>
      </c>
      <c r="B84" s="10" t="s">
        <v>414</v>
      </c>
      <c r="C84" s="11" t="s">
        <v>21</v>
      </c>
      <c r="D84" s="11" t="s">
        <v>409</v>
      </c>
      <c r="E84" s="11" t="s">
        <v>415</v>
      </c>
      <c r="F84" s="10" t="s">
        <v>48</v>
      </c>
      <c r="G84" s="10" t="s">
        <v>76</v>
      </c>
      <c r="H84" s="11" t="s">
        <v>416</v>
      </c>
      <c r="I84" s="11" t="s">
        <v>228</v>
      </c>
      <c r="J84" s="11" t="s">
        <v>60</v>
      </c>
      <c r="K84" s="11" t="s">
        <v>417</v>
      </c>
      <c r="L84" s="11" t="s">
        <v>53</v>
      </c>
      <c r="M84" s="10" t="s">
        <v>13</v>
      </c>
      <c r="N84" s="12">
        <v>46315</v>
      </c>
      <c r="O84" s="10"/>
      <c r="P84" s="11"/>
    </row>
    <row r="85" spans="1:16" ht="33.75" customHeight="1" x14ac:dyDescent="0.35">
      <c r="A85" s="10">
        <v>84</v>
      </c>
      <c r="B85" s="10" t="s">
        <v>418</v>
      </c>
      <c r="C85" s="11" t="s">
        <v>21</v>
      </c>
      <c r="D85" s="11" t="s">
        <v>409</v>
      </c>
      <c r="E85" s="11" t="s">
        <v>419</v>
      </c>
      <c r="F85" s="10" t="s">
        <v>48</v>
      </c>
      <c r="G85" s="10" t="s">
        <v>288</v>
      </c>
      <c r="H85" s="11" t="s">
        <v>420</v>
      </c>
      <c r="I85" s="11" t="s">
        <v>421</v>
      </c>
      <c r="J85" s="11" t="s">
        <v>60</v>
      </c>
      <c r="K85" s="11" t="s">
        <v>422</v>
      </c>
      <c r="L85" s="11" t="s">
        <v>53</v>
      </c>
      <c r="M85" s="10" t="s">
        <v>13</v>
      </c>
      <c r="N85" s="12">
        <v>46315</v>
      </c>
      <c r="O85" s="10"/>
      <c r="P85" s="11"/>
    </row>
    <row r="86" spans="1:16" ht="48.75" customHeight="1" x14ac:dyDescent="0.35">
      <c r="A86" s="10">
        <v>85</v>
      </c>
      <c r="B86" s="10" t="s">
        <v>423</v>
      </c>
      <c r="C86" s="11" t="s">
        <v>21</v>
      </c>
      <c r="D86" s="11" t="s">
        <v>409</v>
      </c>
      <c r="E86" s="11" t="s">
        <v>424</v>
      </c>
      <c r="F86" s="10" t="s">
        <v>48</v>
      </c>
      <c r="G86" s="10" t="s">
        <v>49</v>
      </c>
      <c r="H86" s="11" t="s">
        <v>425</v>
      </c>
      <c r="I86" s="11" t="s">
        <v>426</v>
      </c>
      <c r="J86" s="11" t="s">
        <v>60</v>
      </c>
      <c r="K86" s="11" t="s">
        <v>427</v>
      </c>
      <c r="L86" s="11" t="s">
        <v>53</v>
      </c>
      <c r="M86" s="10" t="s">
        <v>13</v>
      </c>
      <c r="N86" s="12">
        <v>46315</v>
      </c>
      <c r="O86" s="10"/>
      <c r="P86" s="11"/>
    </row>
    <row r="87" spans="1:16" ht="48.75" customHeight="1" x14ac:dyDescent="0.35">
      <c r="A87" s="10">
        <v>86</v>
      </c>
      <c r="B87" s="10" t="s">
        <v>428</v>
      </c>
      <c r="C87" s="11" t="s">
        <v>21</v>
      </c>
      <c r="D87" s="11" t="s">
        <v>409</v>
      </c>
      <c r="E87" s="11" t="s">
        <v>429</v>
      </c>
      <c r="F87" s="10" t="s">
        <v>48</v>
      </c>
      <c r="G87" s="10" t="s">
        <v>49</v>
      </c>
      <c r="H87" s="11" t="s">
        <v>430</v>
      </c>
      <c r="I87" s="11" t="s">
        <v>431</v>
      </c>
      <c r="J87" s="11" t="s">
        <v>432</v>
      </c>
      <c r="K87" s="11" t="s">
        <v>433</v>
      </c>
      <c r="L87" s="11" t="s">
        <v>53</v>
      </c>
      <c r="M87" s="10" t="s">
        <v>13</v>
      </c>
      <c r="N87" s="12">
        <v>46315</v>
      </c>
      <c r="O87" s="10"/>
      <c r="P87" s="11"/>
    </row>
    <row r="88" spans="1:16" ht="48.75" customHeight="1" x14ac:dyDescent="0.35">
      <c r="A88" s="10">
        <v>87</v>
      </c>
      <c r="B88" s="10" t="s">
        <v>434</v>
      </c>
      <c r="C88" s="11" t="s">
        <v>21</v>
      </c>
      <c r="D88" s="11" t="s">
        <v>409</v>
      </c>
      <c r="E88" s="11" t="s">
        <v>435</v>
      </c>
      <c r="F88" s="10" t="s">
        <v>48</v>
      </c>
      <c r="G88" s="10" t="s">
        <v>76</v>
      </c>
      <c r="H88" s="11" t="s">
        <v>436</v>
      </c>
      <c r="I88" s="11" t="s">
        <v>437</v>
      </c>
      <c r="J88" s="11" t="s">
        <v>60</v>
      </c>
      <c r="K88" s="11" t="s">
        <v>438</v>
      </c>
      <c r="L88" s="11" t="s">
        <v>53</v>
      </c>
      <c r="M88" s="10" t="s">
        <v>13</v>
      </c>
      <c r="N88" s="12">
        <v>46315</v>
      </c>
      <c r="O88" s="10"/>
      <c r="P88" s="11"/>
    </row>
    <row r="89" spans="1:16" ht="33.75" customHeight="1" x14ac:dyDescent="0.35">
      <c r="A89" s="10">
        <v>88</v>
      </c>
      <c r="B89" s="10" t="s">
        <v>439</v>
      </c>
      <c r="C89" s="11" t="s">
        <v>21</v>
      </c>
      <c r="D89" s="11" t="s">
        <v>409</v>
      </c>
      <c r="E89" s="11" t="s">
        <v>440</v>
      </c>
      <c r="F89" s="10" t="s">
        <v>48</v>
      </c>
      <c r="G89" s="10" t="s">
        <v>288</v>
      </c>
      <c r="H89" s="11" t="s">
        <v>436</v>
      </c>
      <c r="I89" s="11" t="s">
        <v>441</v>
      </c>
      <c r="J89" s="11" t="s">
        <v>60</v>
      </c>
      <c r="K89" s="11" t="s">
        <v>442</v>
      </c>
      <c r="L89" s="11" t="s">
        <v>53</v>
      </c>
      <c r="M89" s="10" t="s">
        <v>13</v>
      </c>
      <c r="N89" s="12">
        <v>46315</v>
      </c>
      <c r="O89" s="10"/>
      <c r="P89" s="11"/>
    </row>
    <row r="90" spans="1:16" ht="33.75" customHeight="1" x14ac:dyDescent="0.35">
      <c r="A90" s="10">
        <v>89</v>
      </c>
      <c r="B90" s="10" t="s">
        <v>443</v>
      </c>
      <c r="C90" s="11" t="s">
        <v>21</v>
      </c>
      <c r="D90" s="11" t="s">
        <v>409</v>
      </c>
      <c r="E90" s="11" t="s">
        <v>444</v>
      </c>
      <c r="F90" s="10" t="s">
        <v>48</v>
      </c>
      <c r="G90" s="10" t="s">
        <v>76</v>
      </c>
      <c r="H90" s="11" t="s">
        <v>445</v>
      </c>
      <c r="I90" s="11" t="s">
        <v>446</v>
      </c>
      <c r="J90" s="11" t="s">
        <v>60</v>
      </c>
      <c r="K90" s="11" t="s">
        <v>447</v>
      </c>
      <c r="L90" s="11" t="s">
        <v>53</v>
      </c>
      <c r="M90" s="10" t="s">
        <v>13</v>
      </c>
      <c r="N90" s="12">
        <v>46315</v>
      </c>
      <c r="O90" s="10"/>
      <c r="P90" s="11"/>
    </row>
    <row r="91" spans="1:16" ht="33.75" customHeight="1" x14ac:dyDescent="0.35">
      <c r="A91" s="10">
        <v>90</v>
      </c>
      <c r="B91" s="10" t="s">
        <v>448</v>
      </c>
      <c r="C91" s="11" t="s">
        <v>21</v>
      </c>
      <c r="D91" s="11" t="s">
        <v>409</v>
      </c>
      <c r="E91" s="11" t="s">
        <v>449</v>
      </c>
      <c r="F91" s="10" t="s">
        <v>48</v>
      </c>
      <c r="G91" s="10" t="s">
        <v>76</v>
      </c>
      <c r="H91" s="11" t="s">
        <v>450</v>
      </c>
      <c r="I91" s="11" t="s">
        <v>451</v>
      </c>
      <c r="J91" s="11" t="s">
        <v>60</v>
      </c>
      <c r="K91" s="11" t="s">
        <v>452</v>
      </c>
      <c r="L91" s="11" t="s">
        <v>53</v>
      </c>
      <c r="M91" s="10" t="s">
        <v>13</v>
      </c>
      <c r="N91" s="12">
        <v>46315</v>
      </c>
      <c r="O91" s="10"/>
      <c r="P91" s="11"/>
    </row>
    <row r="92" spans="1:16" ht="33.75" customHeight="1" x14ac:dyDescent="0.35">
      <c r="A92" s="10">
        <v>91</v>
      </c>
      <c r="B92" s="10" t="s">
        <v>453</v>
      </c>
      <c r="C92" s="11" t="s">
        <v>21</v>
      </c>
      <c r="D92" s="11" t="s">
        <v>409</v>
      </c>
      <c r="E92" s="11" t="s">
        <v>454</v>
      </c>
      <c r="F92" s="10" t="s">
        <v>48</v>
      </c>
      <c r="G92" s="10" t="s">
        <v>49</v>
      </c>
      <c r="H92" s="11" t="s">
        <v>455</v>
      </c>
      <c r="I92" s="11" t="s">
        <v>456</v>
      </c>
      <c r="J92" s="11" t="s">
        <v>60</v>
      </c>
      <c r="K92" s="11" t="s">
        <v>457</v>
      </c>
      <c r="L92" s="11" t="s">
        <v>53</v>
      </c>
      <c r="M92" s="10" t="s">
        <v>13</v>
      </c>
      <c r="N92" s="12">
        <v>46315</v>
      </c>
      <c r="O92" s="10"/>
      <c r="P92" s="11"/>
    </row>
    <row r="93" spans="1:16" ht="48.75" customHeight="1" x14ac:dyDescent="0.35">
      <c r="A93" s="10">
        <v>92</v>
      </c>
      <c r="B93" s="10" t="s">
        <v>458</v>
      </c>
      <c r="C93" s="11" t="s">
        <v>21</v>
      </c>
      <c r="D93" s="11" t="s">
        <v>409</v>
      </c>
      <c r="E93" s="11" t="s">
        <v>459</v>
      </c>
      <c r="F93" s="10" t="s">
        <v>48</v>
      </c>
      <c r="G93" s="10" t="s">
        <v>76</v>
      </c>
      <c r="H93" s="11" t="s">
        <v>460</v>
      </c>
      <c r="I93" s="11" t="s">
        <v>461</v>
      </c>
      <c r="J93" s="11" t="s">
        <v>60</v>
      </c>
      <c r="K93" s="11" t="s">
        <v>462</v>
      </c>
      <c r="L93" s="11" t="s">
        <v>53</v>
      </c>
      <c r="M93" s="10" t="s">
        <v>13</v>
      </c>
      <c r="N93" s="12">
        <v>46315</v>
      </c>
      <c r="O93" s="10"/>
      <c r="P93" s="11"/>
    </row>
    <row r="94" spans="1:16" ht="48.75" customHeight="1" x14ac:dyDescent="0.35">
      <c r="A94" s="10">
        <v>93</v>
      </c>
      <c r="B94" s="10" t="s">
        <v>463</v>
      </c>
      <c r="C94" s="11" t="s">
        <v>21</v>
      </c>
      <c r="D94" s="11" t="s">
        <v>409</v>
      </c>
      <c r="E94" s="11" t="s">
        <v>464</v>
      </c>
      <c r="F94" s="10" t="s">
        <v>48</v>
      </c>
      <c r="G94" s="10" t="s">
        <v>76</v>
      </c>
      <c r="H94" s="11" t="s">
        <v>465</v>
      </c>
      <c r="I94" s="11" t="s">
        <v>466</v>
      </c>
      <c r="J94" s="11" t="s">
        <v>60</v>
      </c>
      <c r="K94" s="11" t="s">
        <v>467</v>
      </c>
      <c r="L94" s="11" t="s">
        <v>53</v>
      </c>
      <c r="M94" s="10" t="s">
        <v>13</v>
      </c>
      <c r="N94" s="12">
        <v>46315</v>
      </c>
      <c r="O94" s="10"/>
      <c r="P94" s="11"/>
    </row>
    <row r="95" spans="1:16" ht="33.75" customHeight="1" x14ac:dyDescent="0.35">
      <c r="A95" s="10">
        <v>94</v>
      </c>
      <c r="B95" s="10" t="s">
        <v>468</v>
      </c>
      <c r="C95" s="11" t="s">
        <v>21</v>
      </c>
      <c r="D95" s="11" t="s">
        <v>409</v>
      </c>
      <c r="E95" s="11" t="s">
        <v>469</v>
      </c>
      <c r="F95" s="10" t="s">
        <v>48</v>
      </c>
      <c r="G95" s="10" t="s">
        <v>76</v>
      </c>
      <c r="H95" s="11" t="s">
        <v>470</v>
      </c>
      <c r="I95" s="11" t="s">
        <v>471</v>
      </c>
      <c r="J95" s="11" t="s">
        <v>60</v>
      </c>
      <c r="K95" s="11" t="s">
        <v>472</v>
      </c>
      <c r="L95" s="11" t="s">
        <v>53</v>
      </c>
      <c r="M95" s="10" t="s">
        <v>13</v>
      </c>
      <c r="N95" s="12">
        <v>46315</v>
      </c>
      <c r="O95" s="10"/>
      <c r="P95" s="11"/>
    </row>
    <row r="96" spans="1:16" ht="63.75" customHeight="1" x14ac:dyDescent="0.35">
      <c r="A96" s="10">
        <v>95</v>
      </c>
      <c r="B96" s="10" t="s">
        <v>473</v>
      </c>
      <c r="C96" s="11" t="s">
        <v>21</v>
      </c>
      <c r="D96" s="11" t="s">
        <v>409</v>
      </c>
      <c r="E96" s="11" t="s">
        <v>474</v>
      </c>
      <c r="F96" s="10" t="s">
        <v>48</v>
      </c>
      <c r="G96" s="10" t="s">
        <v>76</v>
      </c>
      <c r="H96" s="11" t="s">
        <v>475</v>
      </c>
      <c r="I96" s="11" t="s">
        <v>266</v>
      </c>
      <c r="J96" s="11" t="s">
        <v>60</v>
      </c>
      <c r="K96" s="11" t="s">
        <v>476</v>
      </c>
      <c r="L96" s="11" t="s">
        <v>53</v>
      </c>
      <c r="M96" s="10" t="s">
        <v>13</v>
      </c>
      <c r="N96" s="12">
        <v>46315</v>
      </c>
      <c r="O96" s="10"/>
      <c r="P96" s="11"/>
    </row>
    <row r="97" spans="1:16" ht="63.75" customHeight="1" x14ac:dyDescent="0.35">
      <c r="A97" s="10">
        <v>96</v>
      </c>
      <c r="B97" s="10" t="s">
        <v>477</v>
      </c>
      <c r="C97" s="11" t="s">
        <v>21</v>
      </c>
      <c r="D97" s="11" t="s">
        <v>409</v>
      </c>
      <c r="E97" s="11" t="s">
        <v>478</v>
      </c>
      <c r="F97" s="10" t="s">
        <v>48</v>
      </c>
      <c r="G97" s="10" t="s">
        <v>49</v>
      </c>
      <c r="H97" s="11" t="s">
        <v>479</v>
      </c>
      <c r="I97" s="11" t="s">
        <v>480</v>
      </c>
      <c r="J97" s="11" t="s">
        <v>60</v>
      </c>
      <c r="K97" s="11" t="s">
        <v>481</v>
      </c>
      <c r="L97" s="11" t="s">
        <v>53</v>
      </c>
      <c r="M97" s="10" t="s">
        <v>13</v>
      </c>
      <c r="N97" s="12">
        <v>46315</v>
      </c>
      <c r="O97" s="10"/>
      <c r="P97" s="11"/>
    </row>
    <row r="98" spans="1:16" ht="63.75" customHeight="1" x14ac:dyDescent="0.35">
      <c r="A98" s="10">
        <v>97</v>
      </c>
      <c r="B98" s="10" t="s">
        <v>482</v>
      </c>
      <c r="C98" s="11" t="s">
        <v>21</v>
      </c>
      <c r="D98" s="11" t="s">
        <v>409</v>
      </c>
      <c r="E98" s="11" t="s">
        <v>483</v>
      </c>
      <c r="F98" s="10" t="s">
        <v>48</v>
      </c>
      <c r="G98" s="10" t="s">
        <v>76</v>
      </c>
      <c r="H98" s="11" t="s">
        <v>479</v>
      </c>
      <c r="I98" s="11" t="s">
        <v>484</v>
      </c>
      <c r="J98" s="11" t="s">
        <v>60</v>
      </c>
      <c r="K98" s="11" t="s">
        <v>485</v>
      </c>
      <c r="L98" s="11" t="s">
        <v>53</v>
      </c>
      <c r="M98" s="10" t="s">
        <v>13</v>
      </c>
      <c r="N98" s="12">
        <v>46315</v>
      </c>
      <c r="O98" s="10"/>
      <c r="P98" s="11"/>
    </row>
    <row r="99" spans="1:16" ht="63.75" customHeight="1" x14ac:dyDescent="0.35">
      <c r="A99" s="10">
        <v>98</v>
      </c>
      <c r="B99" s="10" t="s">
        <v>486</v>
      </c>
      <c r="C99" s="11" t="s">
        <v>21</v>
      </c>
      <c r="D99" s="11" t="s">
        <v>409</v>
      </c>
      <c r="E99" s="11" t="s">
        <v>487</v>
      </c>
      <c r="F99" s="10" t="s">
        <v>48</v>
      </c>
      <c r="G99" s="10" t="s">
        <v>49</v>
      </c>
      <c r="H99" s="11" t="s">
        <v>479</v>
      </c>
      <c r="I99" s="11" t="s">
        <v>488</v>
      </c>
      <c r="J99" s="11" t="s">
        <v>60</v>
      </c>
      <c r="K99" s="11" t="s">
        <v>489</v>
      </c>
      <c r="L99" s="11" t="s">
        <v>53</v>
      </c>
      <c r="M99" s="10" t="s">
        <v>13</v>
      </c>
      <c r="N99" s="12">
        <v>46315</v>
      </c>
      <c r="O99" s="10"/>
      <c r="P99" s="11"/>
    </row>
    <row r="100" spans="1:16" ht="63.75" customHeight="1" x14ac:dyDescent="0.35">
      <c r="A100" s="10">
        <v>99</v>
      </c>
      <c r="B100" s="10" t="s">
        <v>490</v>
      </c>
      <c r="C100" s="11" t="s">
        <v>21</v>
      </c>
      <c r="D100" s="11" t="s">
        <v>409</v>
      </c>
      <c r="E100" s="11" t="s">
        <v>491</v>
      </c>
      <c r="F100" s="10" t="s">
        <v>48</v>
      </c>
      <c r="G100" s="10" t="s">
        <v>76</v>
      </c>
      <c r="H100" s="11" t="s">
        <v>479</v>
      </c>
      <c r="I100" s="11" t="s">
        <v>492</v>
      </c>
      <c r="J100" s="11" t="s">
        <v>493</v>
      </c>
      <c r="K100" s="11" t="s">
        <v>494</v>
      </c>
      <c r="L100" s="11" t="s">
        <v>53</v>
      </c>
      <c r="M100" s="10" t="s">
        <v>13</v>
      </c>
      <c r="N100" s="12">
        <v>46315</v>
      </c>
      <c r="O100" s="10"/>
      <c r="P100" s="11"/>
    </row>
    <row r="101" spans="1:16" ht="63.75" customHeight="1" x14ac:dyDescent="0.35">
      <c r="A101" s="10">
        <v>100</v>
      </c>
      <c r="B101" s="10" t="s">
        <v>495</v>
      </c>
      <c r="C101" s="11" t="s">
        <v>21</v>
      </c>
      <c r="D101" s="11" t="s">
        <v>409</v>
      </c>
      <c r="E101" s="11" t="s">
        <v>496</v>
      </c>
      <c r="F101" s="10" t="s">
        <v>48</v>
      </c>
      <c r="G101" s="10" t="s">
        <v>76</v>
      </c>
      <c r="H101" s="11" t="s">
        <v>479</v>
      </c>
      <c r="I101" s="11" t="s">
        <v>497</v>
      </c>
      <c r="J101" s="11" t="s">
        <v>60</v>
      </c>
      <c r="K101" s="11" t="s">
        <v>498</v>
      </c>
      <c r="L101" s="11" t="s">
        <v>53</v>
      </c>
      <c r="M101" s="10" t="s">
        <v>13</v>
      </c>
      <c r="N101" s="12">
        <v>46315</v>
      </c>
      <c r="O101" s="10"/>
      <c r="P101" s="11"/>
    </row>
    <row r="102" spans="1:16" ht="63.75" customHeight="1" x14ac:dyDescent="0.35">
      <c r="A102" s="10">
        <v>101</v>
      </c>
      <c r="B102" s="10" t="s">
        <v>499</v>
      </c>
      <c r="C102" s="11" t="s">
        <v>21</v>
      </c>
      <c r="D102" s="11" t="s">
        <v>409</v>
      </c>
      <c r="E102" s="11" t="s">
        <v>500</v>
      </c>
      <c r="F102" s="10" t="s">
        <v>48</v>
      </c>
      <c r="G102" s="10" t="s">
        <v>288</v>
      </c>
      <c r="H102" s="11" t="s">
        <v>479</v>
      </c>
      <c r="I102" s="11" t="s">
        <v>501</v>
      </c>
      <c r="J102" s="11" t="s">
        <v>60</v>
      </c>
      <c r="K102" s="11" t="s">
        <v>502</v>
      </c>
      <c r="L102" s="11" t="s">
        <v>53</v>
      </c>
      <c r="M102" s="10" t="s">
        <v>13</v>
      </c>
      <c r="N102" s="12">
        <v>46315</v>
      </c>
      <c r="O102" s="10"/>
      <c r="P102" s="11"/>
    </row>
    <row r="103" spans="1:16" ht="48.75" customHeight="1" x14ac:dyDescent="0.35">
      <c r="A103" s="10">
        <v>102</v>
      </c>
      <c r="B103" s="10" t="s">
        <v>503</v>
      </c>
      <c r="C103" s="11" t="s">
        <v>21</v>
      </c>
      <c r="D103" s="11" t="s">
        <v>409</v>
      </c>
      <c r="E103" s="11" t="s">
        <v>504</v>
      </c>
      <c r="F103" s="10" t="s">
        <v>48</v>
      </c>
      <c r="G103" s="10" t="s">
        <v>76</v>
      </c>
      <c r="H103" s="11" t="s">
        <v>505</v>
      </c>
      <c r="I103" s="11" t="s">
        <v>506</v>
      </c>
      <c r="J103" s="11" t="s">
        <v>60</v>
      </c>
      <c r="K103" s="11" t="s">
        <v>507</v>
      </c>
      <c r="L103" s="11" t="s">
        <v>53</v>
      </c>
      <c r="M103" s="10" t="s">
        <v>13</v>
      </c>
      <c r="N103" s="12">
        <v>46315</v>
      </c>
      <c r="O103" s="10"/>
      <c r="P103" s="11"/>
    </row>
    <row r="104" spans="1:16" ht="48.75" customHeight="1" x14ac:dyDescent="0.35">
      <c r="A104" s="10">
        <v>103</v>
      </c>
      <c r="B104" s="10" t="s">
        <v>508</v>
      </c>
      <c r="C104" s="11" t="s">
        <v>21</v>
      </c>
      <c r="D104" s="11" t="s">
        <v>409</v>
      </c>
      <c r="E104" s="11" t="s">
        <v>509</v>
      </c>
      <c r="F104" s="10" t="s">
        <v>48</v>
      </c>
      <c r="G104" s="10" t="s">
        <v>49</v>
      </c>
      <c r="H104" s="11" t="s">
        <v>510</v>
      </c>
      <c r="I104" s="11" t="s">
        <v>275</v>
      </c>
      <c r="J104" s="11" t="s">
        <v>60</v>
      </c>
      <c r="K104" s="11" t="s">
        <v>511</v>
      </c>
      <c r="L104" s="11" t="s">
        <v>53</v>
      </c>
      <c r="M104" s="10" t="s">
        <v>13</v>
      </c>
      <c r="N104" s="12">
        <v>46315</v>
      </c>
      <c r="O104" s="10"/>
      <c r="P104" s="11"/>
    </row>
    <row r="105" spans="1:16" ht="33.75" customHeight="1" x14ac:dyDescent="0.35">
      <c r="A105" s="10">
        <v>104</v>
      </c>
      <c r="B105" s="10" t="s">
        <v>512</v>
      </c>
      <c r="C105" s="11" t="s">
        <v>21</v>
      </c>
      <c r="D105" s="11" t="s">
        <v>409</v>
      </c>
      <c r="E105" s="11" t="s">
        <v>513</v>
      </c>
      <c r="F105" s="10" t="s">
        <v>48</v>
      </c>
      <c r="G105" s="10" t="s">
        <v>76</v>
      </c>
      <c r="H105" s="11" t="s">
        <v>514</v>
      </c>
      <c r="I105" s="11" t="s">
        <v>515</v>
      </c>
      <c r="J105" s="11" t="s">
        <v>60</v>
      </c>
      <c r="K105" s="11" t="s">
        <v>516</v>
      </c>
      <c r="L105" s="11" t="s">
        <v>53</v>
      </c>
      <c r="M105" s="10" t="s">
        <v>13</v>
      </c>
      <c r="N105" s="12">
        <v>46315</v>
      </c>
      <c r="O105" s="10"/>
      <c r="P105" s="11"/>
    </row>
    <row r="106" spans="1:16" ht="48.75" customHeight="1" x14ac:dyDescent="0.35">
      <c r="A106" s="10">
        <v>105</v>
      </c>
      <c r="B106" s="10" t="s">
        <v>517</v>
      </c>
      <c r="C106" s="11" t="s">
        <v>21</v>
      </c>
      <c r="D106" s="11" t="s">
        <v>409</v>
      </c>
      <c r="E106" s="11" t="s">
        <v>518</v>
      </c>
      <c r="F106" s="10" t="s">
        <v>57</v>
      </c>
      <c r="G106" s="10" t="s">
        <v>76</v>
      </c>
      <c r="H106" s="11" t="s">
        <v>470</v>
      </c>
      <c r="I106" s="11" t="s">
        <v>519</v>
      </c>
      <c r="J106" s="11" t="s">
        <v>520</v>
      </c>
      <c r="K106" s="11" t="s">
        <v>294</v>
      </c>
      <c r="L106" s="11" t="s">
        <v>53</v>
      </c>
      <c r="M106" s="10" t="s">
        <v>13</v>
      </c>
      <c r="N106" s="12">
        <v>46315</v>
      </c>
      <c r="O106" s="10"/>
      <c r="P106" s="11"/>
    </row>
    <row r="107" spans="1:16" ht="48.75" customHeight="1" x14ac:dyDescent="0.35">
      <c r="A107" s="10">
        <v>106</v>
      </c>
      <c r="B107" s="10" t="s">
        <v>521</v>
      </c>
      <c r="C107" s="11" t="s">
        <v>21</v>
      </c>
      <c r="D107" s="11" t="s">
        <v>409</v>
      </c>
      <c r="E107" s="11" t="s">
        <v>522</v>
      </c>
      <c r="F107" s="10" t="s">
        <v>57</v>
      </c>
      <c r="G107" s="10" t="s">
        <v>288</v>
      </c>
      <c r="H107" s="11" t="s">
        <v>470</v>
      </c>
      <c r="I107" s="11" t="s">
        <v>297</v>
      </c>
      <c r="J107" s="11" t="s">
        <v>298</v>
      </c>
      <c r="K107" s="11" t="s">
        <v>299</v>
      </c>
      <c r="L107" s="11" t="s">
        <v>53</v>
      </c>
      <c r="M107" s="10" t="s">
        <v>13</v>
      </c>
      <c r="N107" s="12">
        <v>46315</v>
      </c>
      <c r="O107" s="10"/>
      <c r="P107" s="11"/>
    </row>
    <row r="108" spans="1:16" ht="48.75" customHeight="1" x14ac:dyDescent="0.35">
      <c r="A108" s="10">
        <v>107</v>
      </c>
      <c r="B108" s="10" t="s">
        <v>523</v>
      </c>
      <c r="C108" s="11" t="s">
        <v>21</v>
      </c>
      <c r="D108" s="11" t="s">
        <v>409</v>
      </c>
      <c r="E108" s="11" t="s">
        <v>524</v>
      </c>
      <c r="F108" s="10" t="s">
        <v>57</v>
      </c>
      <c r="G108" s="10" t="s">
        <v>288</v>
      </c>
      <c r="H108" s="11" t="s">
        <v>470</v>
      </c>
      <c r="I108" s="11" t="s">
        <v>525</v>
      </c>
      <c r="J108" s="11" t="s">
        <v>60</v>
      </c>
      <c r="K108" s="11" t="s">
        <v>526</v>
      </c>
      <c r="L108" s="11" t="s">
        <v>53</v>
      </c>
      <c r="M108" s="10" t="s">
        <v>13</v>
      </c>
      <c r="N108" s="12">
        <v>46315</v>
      </c>
      <c r="O108" s="10"/>
      <c r="P108" s="11"/>
    </row>
    <row r="109" spans="1:16" ht="48.75" customHeight="1" x14ac:dyDescent="0.35">
      <c r="A109" s="10">
        <v>108</v>
      </c>
      <c r="B109" s="10" t="s">
        <v>527</v>
      </c>
      <c r="C109" s="11" t="s">
        <v>21</v>
      </c>
      <c r="D109" s="11" t="s">
        <v>409</v>
      </c>
      <c r="E109" s="11" t="s">
        <v>528</v>
      </c>
      <c r="F109" s="10" t="s">
        <v>57</v>
      </c>
      <c r="G109" s="10" t="s">
        <v>76</v>
      </c>
      <c r="H109" s="11" t="s">
        <v>436</v>
      </c>
      <c r="I109" s="11" t="s">
        <v>529</v>
      </c>
      <c r="J109" s="11" t="s">
        <v>60</v>
      </c>
      <c r="K109" s="11" t="s">
        <v>530</v>
      </c>
      <c r="L109" s="11" t="s">
        <v>53</v>
      </c>
      <c r="M109" s="10" t="s">
        <v>13</v>
      </c>
      <c r="N109" s="12">
        <v>46315</v>
      </c>
      <c r="O109" s="10"/>
      <c r="P109" s="11"/>
    </row>
    <row r="110" spans="1:16" ht="48.75" customHeight="1" x14ac:dyDescent="0.35">
      <c r="A110" s="10">
        <v>109</v>
      </c>
      <c r="B110" s="10" t="s">
        <v>531</v>
      </c>
      <c r="C110" s="11" t="s">
        <v>21</v>
      </c>
      <c r="D110" s="11" t="s">
        <v>409</v>
      </c>
      <c r="E110" s="11" t="s">
        <v>532</v>
      </c>
      <c r="F110" s="10" t="s">
        <v>57</v>
      </c>
      <c r="G110" s="10" t="s">
        <v>49</v>
      </c>
      <c r="H110" s="11" t="s">
        <v>479</v>
      </c>
      <c r="I110" s="11" t="s">
        <v>533</v>
      </c>
      <c r="J110" s="11" t="s">
        <v>60</v>
      </c>
      <c r="K110" s="11" t="s">
        <v>534</v>
      </c>
      <c r="L110" s="11" t="s">
        <v>53</v>
      </c>
      <c r="M110" s="10" t="s">
        <v>13</v>
      </c>
      <c r="N110" s="12">
        <v>46315</v>
      </c>
      <c r="O110" s="10"/>
      <c r="P110" s="11"/>
    </row>
    <row r="111" spans="1:16" ht="48.75" customHeight="1" x14ac:dyDescent="0.35">
      <c r="A111" s="10">
        <v>110</v>
      </c>
      <c r="B111" s="10" t="s">
        <v>535</v>
      </c>
      <c r="C111" s="11" t="s">
        <v>21</v>
      </c>
      <c r="D111" s="11" t="s">
        <v>409</v>
      </c>
      <c r="E111" s="11" t="s">
        <v>536</v>
      </c>
      <c r="F111" s="10" t="s">
        <v>57</v>
      </c>
      <c r="G111" s="10" t="s">
        <v>49</v>
      </c>
      <c r="H111" s="11" t="s">
        <v>479</v>
      </c>
      <c r="I111" s="11" t="s">
        <v>537</v>
      </c>
      <c r="J111" s="11" t="s">
        <v>60</v>
      </c>
      <c r="K111" s="11" t="s">
        <v>538</v>
      </c>
      <c r="L111" s="11" t="s">
        <v>53</v>
      </c>
      <c r="M111" s="10" t="s">
        <v>13</v>
      </c>
      <c r="N111" s="12">
        <v>46315</v>
      </c>
      <c r="O111" s="10"/>
      <c r="P111" s="11"/>
    </row>
    <row r="112" spans="1:16" ht="48.75" customHeight="1" x14ac:dyDescent="0.35">
      <c r="A112" s="10">
        <v>111</v>
      </c>
      <c r="B112" s="10" t="s">
        <v>539</v>
      </c>
      <c r="C112" s="11" t="s">
        <v>21</v>
      </c>
      <c r="D112" s="11" t="s">
        <v>409</v>
      </c>
      <c r="E112" s="11" t="s">
        <v>540</v>
      </c>
      <c r="F112" s="10" t="s">
        <v>57</v>
      </c>
      <c r="G112" s="10" t="s">
        <v>76</v>
      </c>
      <c r="H112" s="11" t="s">
        <v>479</v>
      </c>
      <c r="I112" s="11" t="s">
        <v>541</v>
      </c>
      <c r="J112" s="11" t="s">
        <v>60</v>
      </c>
      <c r="K112" s="11" t="s">
        <v>542</v>
      </c>
      <c r="L112" s="11" t="s">
        <v>53</v>
      </c>
      <c r="M112" s="10" t="s">
        <v>13</v>
      </c>
      <c r="N112" s="12">
        <v>46315</v>
      </c>
      <c r="O112" s="10"/>
      <c r="P112" s="11"/>
    </row>
    <row r="113" spans="1:16" ht="63.75" customHeight="1" x14ac:dyDescent="0.35">
      <c r="A113" s="10">
        <v>112</v>
      </c>
      <c r="B113" s="10" t="s">
        <v>543</v>
      </c>
      <c r="C113" s="11" t="s">
        <v>21</v>
      </c>
      <c r="D113" s="11" t="s">
        <v>409</v>
      </c>
      <c r="E113" s="11" t="s">
        <v>544</v>
      </c>
      <c r="F113" s="10" t="s">
        <v>57</v>
      </c>
      <c r="G113" s="10" t="s">
        <v>76</v>
      </c>
      <c r="H113" s="11" t="s">
        <v>479</v>
      </c>
      <c r="I113" s="11" t="s">
        <v>545</v>
      </c>
      <c r="J113" s="11" t="s">
        <v>546</v>
      </c>
      <c r="K113" s="11" t="s">
        <v>547</v>
      </c>
      <c r="L113" s="11" t="s">
        <v>53</v>
      </c>
      <c r="M113" s="10" t="s">
        <v>13</v>
      </c>
      <c r="N113" s="12">
        <v>46315</v>
      </c>
      <c r="O113" s="10"/>
      <c r="P113" s="11"/>
    </row>
    <row r="114" spans="1:16" ht="48.75" customHeight="1" x14ac:dyDescent="0.35">
      <c r="A114" s="10">
        <v>113</v>
      </c>
      <c r="B114" s="10" t="s">
        <v>548</v>
      </c>
      <c r="C114" s="11" t="s">
        <v>21</v>
      </c>
      <c r="D114" s="11" t="s">
        <v>409</v>
      </c>
      <c r="E114" s="11" t="s">
        <v>549</v>
      </c>
      <c r="F114" s="10" t="s">
        <v>57</v>
      </c>
      <c r="G114" s="10" t="s">
        <v>76</v>
      </c>
      <c r="H114" s="11" t="s">
        <v>550</v>
      </c>
      <c r="I114" s="11" t="s">
        <v>551</v>
      </c>
      <c r="J114" s="11" t="s">
        <v>60</v>
      </c>
      <c r="K114" s="11" t="s">
        <v>552</v>
      </c>
      <c r="L114" s="11" t="s">
        <v>53</v>
      </c>
      <c r="M114" s="10" t="s">
        <v>13</v>
      </c>
      <c r="N114" s="12">
        <v>46315</v>
      </c>
      <c r="O114" s="10"/>
      <c r="P114" s="11"/>
    </row>
    <row r="115" spans="1:16" ht="48.75" customHeight="1" x14ac:dyDescent="0.35">
      <c r="A115" s="10">
        <v>114</v>
      </c>
      <c r="B115" s="10" t="s">
        <v>553</v>
      </c>
      <c r="C115" s="11" t="s">
        <v>21</v>
      </c>
      <c r="D115" s="11" t="s">
        <v>409</v>
      </c>
      <c r="E115" s="11" t="s">
        <v>554</v>
      </c>
      <c r="F115" s="10" t="s">
        <v>57</v>
      </c>
      <c r="G115" s="10" t="s">
        <v>76</v>
      </c>
      <c r="H115" s="11" t="s">
        <v>555</v>
      </c>
      <c r="I115" s="11" t="s">
        <v>556</v>
      </c>
      <c r="J115" s="11" t="s">
        <v>60</v>
      </c>
      <c r="K115" s="11" t="s">
        <v>557</v>
      </c>
      <c r="L115" s="11" t="s">
        <v>53</v>
      </c>
      <c r="M115" s="10" t="s">
        <v>13</v>
      </c>
      <c r="N115" s="12">
        <v>46315</v>
      </c>
      <c r="O115" s="10"/>
      <c r="P115" s="11"/>
    </row>
    <row r="116" spans="1:16" ht="63.75" customHeight="1" x14ac:dyDescent="0.35">
      <c r="A116" s="10">
        <v>115</v>
      </c>
      <c r="B116" s="10" t="s">
        <v>558</v>
      </c>
      <c r="C116" s="11" t="s">
        <v>21</v>
      </c>
      <c r="D116" s="11" t="s">
        <v>559</v>
      </c>
      <c r="E116" s="11" t="s">
        <v>560</v>
      </c>
      <c r="F116" s="10" t="s">
        <v>48</v>
      </c>
      <c r="G116" s="10" t="s">
        <v>76</v>
      </c>
      <c r="H116" s="11" t="s">
        <v>561</v>
      </c>
      <c r="I116" s="11" t="s">
        <v>562</v>
      </c>
      <c r="J116" s="11" t="s">
        <v>60</v>
      </c>
      <c r="K116" s="11" t="s">
        <v>563</v>
      </c>
      <c r="L116" s="11" t="s">
        <v>53</v>
      </c>
      <c r="M116" s="10" t="s">
        <v>13</v>
      </c>
      <c r="N116" s="12">
        <v>46315</v>
      </c>
      <c r="O116" s="10"/>
      <c r="P116" s="11"/>
    </row>
    <row r="117" spans="1:16" ht="93.75" customHeight="1" x14ac:dyDescent="0.35">
      <c r="A117" s="10">
        <v>116</v>
      </c>
      <c r="B117" s="10" t="s">
        <v>564</v>
      </c>
      <c r="C117" s="11" t="s">
        <v>21</v>
      </c>
      <c r="D117" s="11" t="s">
        <v>559</v>
      </c>
      <c r="E117" s="11" t="s">
        <v>565</v>
      </c>
      <c r="F117" s="10" t="s">
        <v>48</v>
      </c>
      <c r="G117" s="10" t="s">
        <v>49</v>
      </c>
      <c r="H117" s="11" t="s">
        <v>566</v>
      </c>
      <c r="I117" s="11" t="s">
        <v>567</v>
      </c>
      <c r="J117" s="11" t="s">
        <v>60</v>
      </c>
      <c r="K117" s="11" t="s">
        <v>568</v>
      </c>
      <c r="L117" s="11" t="s">
        <v>53</v>
      </c>
      <c r="M117" s="10" t="s">
        <v>13</v>
      </c>
      <c r="N117" s="12">
        <v>46315</v>
      </c>
      <c r="O117" s="10"/>
      <c r="P117" s="11"/>
    </row>
    <row r="118" spans="1:16" ht="33.75" customHeight="1" x14ac:dyDescent="0.35">
      <c r="A118" s="10">
        <v>117</v>
      </c>
      <c r="B118" s="10" t="s">
        <v>569</v>
      </c>
      <c r="C118" s="11" t="s">
        <v>21</v>
      </c>
      <c r="D118" s="11" t="s">
        <v>559</v>
      </c>
      <c r="E118" s="11" t="s">
        <v>570</v>
      </c>
      <c r="F118" s="10" t="s">
        <v>48</v>
      </c>
      <c r="G118" s="10" t="s">
        <v>49</v>
      </c>
      <c r="H118" s="11" t="s">
        <v>566</v>
      </c>
      <c r="I118" s="11" t="s">
        <v>571</v>
      </c>
      <c r="J118" s="11" t="s">
        <v>60</v>
      </c>
      <c r="K118" s="11" t="s">
        <v>572</v>
      </c>
      <c r="L118" s="11" t="s">
        <v>53</v>
      </c>
      <c r="M118" s="10" t="s">
        <v>13</v>
      </c>
      <c r="N118" s="12">
        <v>46315</v>
      </c>
      <c r="O118" s="10"/>
      <c r="P118" s="11"/>
    </row>
    <row r="119" spans="1:16" ht="48.75" customHeight="1" x14ac:dyDescent="0.35">
      <c r="A119" s="10">
        <v>118</v>
      </c>
      <c r="B119" s="10" t="s">
        <v>573</v>
      </c>
      <c r="C119" s="11" t="s">
        <v>21</v>
      </c>
      <c r="D119" s="11" t="s">
        <v>559</v>
      </c>
      <c r="E119" s="11" t="s">
        <v>574</v>
      </c>
      <c r="F119" s="10" t="s">
        <v>48</v>
      </c>
      <c r="G119" s="10" t="s">
        <v>76</v>
      </c>
      <c r="H119" s="11" t="s">
        <v>575</v>
      </c>
      <c r="I119" s="11" t="s">
        <v>576</v>
      </c>
      <c r="J119" s="11" t="s">
        <v>60</v>
      </c>
      <c r="K119" s="11" t="s">
        <v>577</v>
      </c>
      <c r="L119" s="11" t="s">
        <v>53</v>
      </c>
      <c r="M119" s="10" t="s">
        <v>13</v>
      </c>
      <c r="N119" s="12">
        <v>46315</v>
      </c>
      <c r="O119" s="10"/>
      <c r="P119" s="11"/>
    </row>
    <row r="120" spans="1:16" ht="63.75" customHeight="1" x14ac:dyDescent="0.35">
      <c r="A120" s="10">
        <v>119</v>
      </c>
      <c r="B120" s="10" t="s">
        <v>578</v>
      </c>
      <c r="C120" s="11" t="s">
        <v>21</v>
      </c>
      <c r="D120" s="11" t="s">
        <v>559</v>
      </c>
      <c r="E120" s="11" t="s">
        <v>579</v>
      </c>
      <c r="F120" s="10" t="s">
        <v>48</v>
      </c>
      <c r="G120" s="10" t="s">
        <v>76</v>
      </c>
      <c r="H120" s="11" t="s">
        <v>580</v>
      </c>
      <c r="I120" s="11" t="s">
        <v>581</v>
      </c>
      <c r="J120" s="11" t="s">
        <v>582</v>
      </c>
      <c r="K120" s="11" t="s">
        <v>583</v>
      </c>
      <c r="L120" s="11" t="s">
        <v>53</v>
      </c>
      <c r="M120" s="10" t="s">
        <v>13</v>
      </c>
      <c r="N120" s="12">
        <v>46315</v>
      </c>
      <c r="O120" s="10"/>
      <c r="P120" s="11"/>
    </row>
    <row r="121" spans="1:16" ht="48.75" customHeight="1" x14ac:dyDescent="0.35">
      <c r="A121" s="10">
        <v>120</v>
      </c>
      <c r="B121" s="10" t="s">
        <v>584</v>
      </c>
      <c r="C121" s="11" t="s">
        <v>21</v>
      </c>
      <c r="D121" s="11" t="s">
        <v>559</v>
      </c>
      <c r="E121" s="11" t="s">
        <v>585</v>
      </c>
      <c r="F121" s="10" t="s">
        <v>48</v>
      </c>
      <c r="G121" s="10" t="s">
        <v>76</v>
      </c>
      <c r="H121" s="11" t="s">
        <v>580</v>
      </c>
      <c r="I121" s="11" t="s">
        <v>586</v>
      </c>
      <c r="J121" s="11" t="s">
        <v>587</v>
      </c>
      <c r="K121" s="11" t="s">
        <v>588</v>
      </c>
      <c r="L121" s="11" t="s">
        <v>53</v>
      </c>
      <c r="M121" s="10" t="s">
        <v>13</v>
      </c>
      <c r="N121" s="12">
        <v>46315</v>
      </c>
      <c r="O121" s="10"/>
      <c r="P121" s="11"/>
    </row>
    <row r="122" spans="1:16" ht="48.75" customHeight="1" x14ac:dyDescent="0.35">
      <c r="A122" s="10">
        <v>121</v>
      </c>
      <c r="B122" s="10" t="s">
        <v>589</v>
      </c>
      <c r="C122" s="11" t="s">
        <v>21</v>
      </c>
      <c r="D122" s="11" t="s">
        <v>559</v>
      </c>
      <c r="E122" s="11" t="s">
        <v>590</v>
      </c>
      <c r="F122" s="10" t="s">
        <v>48</v>
      </c>
      <c r="G122" s="10" t="s">
        <v>49</v>
      </c>
      <c r="H122" s="11" t="s">
        <v>580</v>
      </c>
      <c r="I122" s="11" t="s">
        <v>591</v>
      </c>
      <c r="J122" s="11" t="s">
        <v>592</v>
      </c>
      <c r="K122" s="11" t="s">
        <v>593</v>
      </c>
      <c r="L122" s="11" t="s">
        <v>53</v>
      </c>
      <c r="M122" s="10" t="s">
        <v>13</v>
      </c>
      <c r="N122" s="12">
        <v>46315</v>
      </c>
      <c r="O122" s="10"/>
      <c r="P122" s="11"/>
    </row>
    <row r="123" spans="1:16" ht="48.75" customHeight="1" x14ac:dyDescent="0.35">
      <c r="A123" s="10">
        <v>122</v>
      </c>
      <c r="B123" s="10" t="s">
        <v>594</v>
      </c>
      <c r="C123" s="11" t="s">
        <v>21</v>
      </c>
      <c r="D123" s="11" t="s">
        <v>559</v>
      </c>
      <c r="E123" s="11" t="s">
        <v>595</v>
      </c>
      <c r="F123" s="10" t="s">
        <v>48</v>
      </c>
      <c r="G123" s="10" t="s">
        <v>76</v>
      </c>
      <c r="H123" s="11" t="s">
        <v>580</v>
      </c>
      <c r="I123" s="11" t="s">
        <v>596</v>
      </c>
      <c r="J123" s="11" t="s">
        <v>597</v>
      </c>
      <c r="K123" s="11" t="s">
        <v>598</v>
      </c>
      <c r="L123" s="11" t="s">
        <v>53</v>
      </c>
      <c r="M123" s="10" t="s">
        <v>13</v>
      </c>
      <c r="N123" s="12">
        <v>46315</v>
      </c>
      <c r="O123" s="10"/>
      <c r="P123" s="11"/>
    </row>
    <row r="124" spans="1:16" ht="78.75" customHeight="1" x14ac:dyDescent="0.35">
      <c r="A124" s="10">
        <v>123</v>
      </c>
      <c r="B124" s="10" t="s">
        <v>599</v>
      </c>
      <c r="C124" s="11" t="s">
        <v>21</v>
      </c>
      <c r="D124" s="11" t="s">
        <v>559</v>
      </c>
      <c r="E124" s="11" t="s">
        <v>600</v>
      </c>
      <c r="F124" s="10" t="s">
        <v>48</v>
      </c>
      <c r="G124" s="10" t="s">
        <v>288</v>
      </c>
      <c r="H124" s="11" t="s">
        <v>580</v>
      </c>
      <c r="I124" s="11" t="s">
        <v>601</v>
      </c>
      <c r="J124" s="11" t="s">
        <v>60</v>
      </c>
      <c r="K124" s="11" t="s">
        <v>602</v>
      </c>
      <c r="L124" s="11" t="s">
        <v>53</v>
      </c>
      <c r="M124" s="10" t="s">
        <v>13</v>
      </c>
      <c r="N124" s="12">
        <v>46315</v>
      </c>
      <c r="O124" s="10"/>
      <c r="P124" s="11"/>
    </row>
    <row r="125" spans="1:16" ht="63.75" customHeight="1" x14ac:dyDescent="0.35">
      <c r="A125" s="10">
        <v>124</v>
      </c>
      <c r="B125" s="10" t="s">
        <v>603</v>
      </c>
      <c r="C125" s="11" t="s">
        <v>21</v>
      </c>
      <c r="D125" s="11" t="s">
        <v>559</v>
      </c>
      <c r="E125" s="11" t="s">
        <v>604</v>
      </c>
      <c r="F125" s="10" t="s">
        <v>48</v>
      </c>
      <c r="G125" s="10" t="s">
        <v>288</v>
      </c>
      <c r="H125" s="11" t="s">
        <v>580</v>
      </c>
      <c r="I125" s="11" t="s">
        <v>605</v>
      </c>
      <c r="J125" s="11" t="s">
        <v>60</v>
      </c>
      <c r="K125" s="11" t="s">
        <v>606</v>
      </c>
      <c r="L125" s="11" t="s">
        <v>53</v>
      </c>
      <c r="M125" s="10" t="s">
        <v>13</v>
      </c>
      <c r="N125" s="12">
        <v>46315</v>
      </c>
      <c r="O125" s="10"/>
      <c r="P125" s="11"/>
    </row>
    <row r="126" spans="1:16" ht="33.75" customHeight="1" x14ac:dyDescent="0.35">
      <c r="A126" s="10">
        <v>125</v>
      </c>
      <c r="B126" s="10" t="s">
        <v>607</v>
      </c>
      <c r="C126" s="11" t="s">
        <v>21</v>
      </c>
      <c r="D126" s="11" t="s">
        <v>559</v>
      </c>
      <c r="E126" s="11" t="s">
        <v>608</v>
      </c>
      <c r="F126" s="10" t="s">
        <v>48</v>
      </c>
      <c r="G126" s="10" t="s">
        <v>288</v>
      </c>
      <c r="H126" s="11" t="s">
        <v>580</v>
      </c>
      <c r="I126" s="11" t="s">
        <v>609</v>
      </c>
      <c r="J126" s="11" t="s">
        <v>60</v>
      </c>
      <c r="K126" s="11" t="s">
        <v>610</v>
      </c>
      <c r="L126" s="11" t="s">
        <v>53</v>
      </c>
      <c r="M126" s="10" t="s">
        <v>13</v>
      </c>
      <c r="N126" s="12">
        <v>46315</v>
      </c>
      <c r="O126" s="10"/>
      <c r="P126" s="11"/>
    </row>
    <row r="127" spans="1:16" ht="48.75" customHeight="1" x14ac:dyDescent="0.35">
      <c r="A127" s="10">
        <v>126</v>
      </c>
      <c r="B127" s="10" t="s">
        <v>611</v>
      </c>
      <c r="C127" s="11" t="s">
        <v>21</v>
      </c>
      <c r="D127" s="11" t="s">
        <v>559</v>
      </c>
      <c r="E127" s="11" t="s">
        <v>612</v>
      </c>
      <c r="F127" s="10" t="s">
        <v>48</v>
      </c>
      <c r="G127" s="10" t="s">
        <v>288</v>
      </c>
      <c r="H127" s="11" t="s">
        <v>613</v>
      </c>
      <c r="I127" s="11" t="s">
        <v>614</v>
      </c>
      <c r="J127" s="11" t="s">
        <v>60</v>
      </c>
      <c r="K127" s="11" t="s">
        <v>615</v>
      </c>
      <c r="L127" s="11" t="s">
        <v>53</v>
      </c>
      <c r="M127" s="10" t="s">
        <v>13</v>
      </c>
      <c r="N127" s="12">
        <v>46315</v>
      </c>
      <c r="O127" s="10"/>
      <c r="P127" s="11"/>
    </row>
    <row r="128" spans="1:16" ht="33.75" customHeight="1" x14ac:dyDescent="0.35">
      <c r="A128" s="10">
        <v>127</v>
      </c>
      <c r="B128" s="10" t="s">
        <v>616</v>
      </c>
      <c r="C128" s="11" t="s">
        <v>21</v>
      </c>
      <c r="D128" s="11" t="s">
        <v>559</v>
      </c>
      <c r="E128" s="11" t="s">
        <v>617</v>
      </c>
      <c r="F128" s="10" t="s">
        <v>48</v>
      </c>
      <c r="G128" s="10" t="s">
        <v>76</v>
      </c>
      <c r="H128" s="11" t="s">
        <v>618</v>
      </c>
      <c r="I128" s="11" t="s">
        <v>619</v>
      </c>
      <c r="J128" s="11" t="s">
        <v>60</v>
      </c>
      <c r="K128" s="11" t="s">
        <v>620</v>
      </c>
      <c r="L128" s="11" t="s">
        <v>53</v>
      </c>
      <c r="M128" s="10" t="s">
        <v>13</v>
      </c>
      <c r="N128" s="12">
        <v>46315</v>
      </c>
      <c r="O128" s="10"/>
      <c r="P128" s="11"/>
    </row>
    <row r="129" spans="1:16" ht="48.75" customHeight="1" x14ac:dyDescent="0.35">
      <c r="A129" s="10">
        <v>128</v>
      </c>
      <c r="B129" s="10" t="s">
        <v>621</v>
      </c>
      <c r="C129" s="11" t="s">
        <v>21</v>
      </c>
      <c r="D129" s="11" t="s">
        <v>559</v>
      </c>
      <c r="E129" s="11" t="s">
        <v>622</v>
      </c>
      <c r="F129" s="10" t="s">
        <v>48</v>
      </c>
      <c r="G129" s="10" t="s">
        <v>49</v>
      </c>
      <c r="H129" s="11" t="s">
        <v>623</v>
      </c>
      <c r="I129" s="11" t="s">
        <v>624</v>
      </c>
      <c r="J129" s="11" t="s">
        <v>60</v>
      </c>
      <c r="K129" s="11" t="s">
        <v>625</v>
      </c>
      <c r="L129" s="11" t="s">
        <v>53</v>
      </c>
      <c r="M129" s="10" t="s">
        <v>13</v>
      </c>
      <c r="N129" s="12">
        <v>46315</v>
      </c>
      <c r="O129" s="10"/>
      <c r="P129" s="11"/>
    </row>
    <row r="130" spans="1:16" ht="33.75" customHeight="1" x14ac:dyDescent="0.35">
      <c r="A130" s="10">
        <v>129</v>
      </c>
      <c r="B130" s="10" t="s">
        <v>626</v>
      </c>
      <c r="C130" s="11" t="s">
        <v>21</v>
      </c>
      <c r="D130" s="11" t="s">
        <v>559</v>
      </c>
      <c r="E130" s="11" t="s">
        <v>627</v>
      </c>
      <c r="F130" s="10" t="s">
        <v>48</v>
      </c>
      <c r="G130" s="10" t="s">
        <v>76</v>
      </c>
      <c r="H130" s="11" t="s">
        <v>623</v>
      </c>
      <c r="I130" s="11" t="s">
        <v>628</v>
      </c>
      <c r="J130" s="11" t="s">
        <v>60</v>
      </c>
      <c r="K130" s="11" t="s">
        <v>629</v>
      </c>
      <c r="L130" s="11" t="s">
        <v>53</v>
      </c>
      <c r="M130" s="10" t="s">
        <v>13</v>
      </c>
      <c r="N130" s="12">
        <v>46315</v>
      </c>
      <c r="O130" s="10"/>
      <c r="P130" s="11"/>
    </row>
    <row r="131" spans="1:16" ht="48.75" customHeight="1" x14ac:dyDescent="0.35">
      <c r="A131" s="10">
        <v>130</v>
      </c>
      <c r="B131" s="10" t="s">
        <v>630</v>
      </c>
      <c r="C131" s="11" t="s">
        <v>21</v>
      </c>
      <c r="D131" s="11" t="s">
        <v>559</v>
      </c>
      <c r="E131" s="11" t="s">
        <v>631</v>
      </c>
      <c r="F131" s="10" t="s">
        <v>48</v>
      </c>
      <c r="G131" s="10" t="s">
        <v>76</v>
      </c>
      <c r="H131" s="11" t="s">
        <v>632</v>
      </c>
      <c r="I131" s="11" t="s">
        <v>633</v>
      </c>
      <c r="J131" s="11" t="s">
        <v>60</v>
      </c>
      <c r="K131" s="11" t="s">
        <v>634</v>
      </c>
      <c r="L131" s="11" t="s">
        <v>53</v>
      </c>
      <c r="M131" s="10" t="s">
        <v>13</v>
      </c>
      <c r="N131" s="12">
        <v>46315</v>
      </c>
      <c r="O131" s="10"/>
      <c r="P131" s="11"/>
    </row>
    <row r="132" spans="1:16" ht="33.75" customHeight="1" x14ac:dyDescent="0.35">
      <c r="A132" s="10">
        <v>131</v>
      </c>
      <c r="B132" s="10" t="s">
        <v>635</v>
      </c>
      <c r="C132" s="11" t="s">
        <v>21</v>
      </c>
      <c r="D132" s="11" t="s">
        <v>559</v>
      </c>
      <c r="E132" s="11" t="s">
        <v>636</v>
      </c>
      <c r="F132" s="10" t="s">
        <v>48</v>
      </c>
      <c r="G132" s="10" t="s">
        <v>76</v>
      </c>
      <c r="H132" s="11" t="s">
        <v>580</v>
      </c>
      <c r="I132" s="11" t="s">
        <v>356</v>
      </c>
      <c r="J132" s="11" t="s">
        <v>60</v>
      </c>
      <c r="K132" s="11" t="s">
        <v>637</v>
      </c>
      <c r="L132" s="11" t="s">
        <v>53</v>
      </c>
      <c r="M132" s="10" t="s">
        <v>13</v>
      </c>
      <c r="N132" s="12">
        <v>46315</v>
      </c>
      <c r="O132" s="10"/>
      <c r="P132" s="11"/>
    </row>
    <row r="133" spans="1:16" ht="48.75" customHeight="1" x14ac:dyDescent="0.35">
      <c r="A133" s="10">
        <v>132</v>
      </c>
      <c r="B133" s="10" t="s">
        <v>638</v>
      </c>
      <c r="C133" s="11" t="s">
        <v>21</v>
      </c>
      <c r="D133" s="11" t="s">
        <v>559</v>
      </c>
      <c r="E133" s="11" t="s">
        <v>639</v>
      </c>
      <c r="F133" s="10" t="s">
        <v>57</v>
      </c>
      <c r="G133" s="10" t="s">
        <v>49</v>
      </c>
      <c r="H133" s="11" t="s">
        <v>580</v>
      </c>
      <c r="I133" s="11" t="s">
        <v>640</v>
      </c>
      <c r="J133" s="11" t="s">
        <v>60</v>
      </c>
      <c r="K133" s="11" t="s">
        <v>534</v>
      </c>
      <c r="L133" s="11" t="s">
        <v>53</v>
      </c>
      <c r="M133" s="10" t="s">
        <v>13</v>
      </c>
      <c r="N133" s="12">
        <v>46315</v>
      </c>
      <c r="O133" s="10"/>
      <c r="P133" s="11"/>
    </row>
    <row r="134" spans="1:16" ht="48.75" customHeight="1" x14ac:dyDescent="0.35">
      <c r="A134" s="10">
        <v>133</v>
      </c>
      <c r="B134" s="10" t="s">
        <v>641</v>
      </c>
      <c r="C134" s="11" t="s">
        <v>21</v>
      </c>
      <c r="D134" s="11" t="s">
        <v>559</v>
      </c>
      <c r="E134" s="11" t="s">
        <v>642</v>
      </c>
      <c r="F134" s="10" t="s">
        <v>57</v>
      </c>
      <c r="G134" s="10" t="s">
        <v>49</v>
      </c>
      <c r="H134" s="11" t="s">
        <v>580</v>
      </c>
      <c r="I134" s="11" t="s">
        <v>643</v>
      </c>
      <c r="J134" s="11" t="s">
        <v>60</v>
      </c>
      <c r="K134" s="11" t="s">
        <v>644</v>
      </c>
      <c r="L134" s="11" t="s">
        <v>53</v>
      </c>
      <c r="M134" s="10" t="s">
        <v>13</v>
      </c>
      <c r="N134" s="12">
        <v>46315</v>
      </c>
      <c r="O134" s="10"/>
      <c r="P134" s="11"/>
    </row>
    <row r="135" spans="1:16" ht="33.75" customHeight="1" x14ac:dyDescent="0.35">
      <c r="A135" s="10">
        <v>134</v>
      </c>
      <c r="B135" s="10" t="s">
        <v>645</v>
      </c>
      <c r="C135" s="11" t="s">
        <v>21</v>
      </c>
      <c r="D135" s="11" t="s">
        <v>559</v>
      </c>
      <c r="E135" s="11" t="s">
        <v>646</v>
      </c>
      <c r="F135" s="10" t="s">
        <v>57</v>
      </c>
      <c r="G135" s="10" t="s">
        <v>49</v>
      </c>
      <c r="H135" s="11" t="s">
        <v>580</v>
      </c>
      <c r="I135" s="11" t="s">
        <v>647</v>
      </c>
      <c r="J135" s="11" t="s">
        <v>60</v>
      </c>
      <c r="K135" s="11" t="s">
        <v>538</v>
      </c>
      <c r="L135" s="11" t="s">
        <v>53</v>
      </c>
      <c r="M135" s="10" t="s">
        <v>13</v>
      </c>
      <c r="N135" s="12">
        <v>46315</v>
      </c>
      <c r="O135" s="10"/>
      <c r="P135" s="11"/>
    </row>
    <row r="136" spans="1:16" ht="48.75" customHeight="1" x14ac:dyDescent="0.35">
      <c r="A136" s="10">
        <v>135</v>
      </c>
      <c r="B136" s="10" t="s">
        <v>648</v>
      </c>
      <c r="C136" s="11" t="s">
        <v>21</v>
      </c>
      <c r="D136" s="11" t="s">
        <v>559</v>
      </c>
      <c r="E136" s="11" t="s">
        <v>649</v>
      </c>
      <c r="F136" s="10" t="s">
        <v>57</v>
      </c>
      <c r="G136" s="10" t="s">
        <v>49</v>
      </c>
      <c r="H136" s="11" t="s">
        <v>580</v>
      </c>
      <c r="I136" s="11" t="s">
        <v>650</v>
      </c>
      <c r="J136" s="11" t="s">
        <v>60</v>
      </c>
      <c r="K136" s="11" t="s">
        <v>542</v>
      </c>
      <c r="L136" s="11" t="s">
        <v>53</v>
      </c>
      <c r="M136" s="10" t="s">
        <v>13</v>
      </c>
      <c r="N136" s="12">
        <v>46315</v>
      </c>
      <c r="O136" s="10"/>
      <c r="P136" s="11"/>
    </row>
    <row r="137" spans="1:16" ht="33.75" customHeight="1" x14ac:dyDescent="0.35">
      <c r="A137" s="10">
        <v>136</v>
      </c>
      <c r="B137" s="10" t="s">
        <v>651</v>
      </c>
      <c r="C137" s="11" t="s">
        <v>21</v>
      </c>
      <c r="D137" s="11" t="s">
        <v>559</v>
      </c>
      <c r="E137" s="11" t="s">
        <v>652</v>
      </c>
      <c r="F137" s="10" t="s">
        <v>57</v>
      </c>
      <c r="G137" s="10" t="s">
        <v>49</v>
      </c>
      <c r="H137" s="11" t="s">
        <v>580</v>
      </c>
      <c r="I137" s="11" t="s">
        <v>380</v>
      </c>
      <c r="J137" s="11" t="s">
        <v>60</v>
      </c>
      <c r="K137" s="11" t="s">
        <v>653</v>
      </c>
      <c r="L137" s="11" t="s">
        <v>53</v>
      </c>
      <c r="M137" s="10" t="s">
        <v>13</v>
      </c>
      <c r="N137" s="12">
        <v>46315</v>
      </c>
      <c r="O137" s="10"/>
      <c r="P137" s="11"/>
    </row>
    <row r="138" spans="1:16" ht="48.75" customHeight="1" x14ac:dyDescent="0.35">
      <c r="A138" s="10">
        <v>137</v>
      </c>
      <c r="B138" s="10" t="s">
        <v>654</v>
      </c>
      <c r="C138" s="11" t="s">
        <v>21</v>
      </c>
      <c r="D138" s="11" t="s">
        <v>559</v>
      </c>
      <c r="E138" s="11" t="s">
        <v>655</v>
      </c>
      <c r="F138" s="10" t="s">
        <v>57</v>
      </c>
      <c r="G138" s="10" t="s">
        <v>76</v>
      </c>
      <c r="H138" s="11" t="s">
        <v>580</v>
      </c>
      <c r="I138" s="11" t="s">
        <v>656</v>
      </c>
      <c r="J138" s="11" t="s">
        <v>60</v>
      </c>
      <c r="K138" s="11" t="s">
        <v>657</v>
      </c>
      <c r="L138" s="11" t="s">
        <v>53</v>
      </c>
      <c r="M138" s="10" t="s">
        <v>13</v>
      </c>
      <c r="N138" s="12">
        <v>46315</v>
      </c>
      <c r="O138" s="10"/>
      <c r="P138" s="11"/>
    </row>
    <row r="139" spans="1:16" ht="63.75" customHeight="1" x14ac:dyDescent="0.35">
      <c r="A139" s="10">
        <v>138</v>
      </c>
      <c r="B139" s="10" t="s">
        <v>658</v>
      </c>
      <c r="C139" s="11" t="s">
        <v>21</v>
      </c>
      <c r="D139" s="11" t="s">
        <v>559</v>
      </c>
      <c r="E139" s="11" t="s">
        <v>659</v>
      </c>
      <c r="F139" s="10" t="s">
        <v>57</v>
      </c>
      <c r="G139" s="10" t="s">
        <v>76</v>
      </c>
      <c r="H139" s="11" t="s">
        <v>580</v>
      </c>
      <c r="I139" s="11" t="s">
        <v>660</v>
      </c>
      <c r="J139" s="11" t="s">
        <v>60</v>
      </c>
      <c r="K139" s="11" t="s">
        <v>661</v>
      </c>
      <c r="L139" s="11" t="s">
        <v>53</v>
      </c>
      <c r="M139" s="10" t="s">
        <v>13</v>
      </c>
      <c r="N139" s="12">
        <v>46315</v>
      </c>
      <c r="O139" s="10"/>
      <c r="P139" s="11"/>
    </row>
    <row r="140" spans="1:16" ht="48.75" customHeight="1" x14ac:dyDescent="0.35">
      <c r="A140" s="10">
        <v>139</v>
      </c>
      <c r="B140" s="10" t="s">
        <v>662</v>
      </c>
      <c r="C140" s="11" t="s">
        <v>21</v>
      </c>
      <c r="D140" s="11" t="s">
        <v>559</v>
      </c>
      <c r="E140" s="11" t="s">
        <v>663</v>
      </c>
      <c r="F140" s="10" t="s">
        <v>57</v>
      </c>
      <c r="G140" s="10" t="s">
        <v>49</v>
      </c>
      <c r="H140" s="11" t="s">
        <v>580</v>
      </c>
      <c r="I140" s="11" t="s">
        <v>664</v>
      </c>
      <c r="J140" s="11" t="s">
        <v>60</v>
      </c>
      <c r="K140" s="11" t="s">
        <v>665</v>
      </c>
      <c r="L140" s="11" t="s">
        <v>53</v>
      </c>
      <c r="M140" s="10" t="s">
        <v>13</v>
      </c>
      <c r="N140" s="12">
        <v>46315</v>
      </c>
      <c r="O140" s="10"/>
      <c r="P140" s="11"/>
    </row>
    <row r="141" spans="1:16" ht="48.75" customHeight="1" x14ac:dyDescent="0.35">
      <c r="A141" s="10">
        <v>140</v>
      </c>
      <c r="B141" s="10" t="s">
        <v>666</v>
      </c>
      <c r="C141" s="11" t="s">
        <v>21</v>
      </c>
      <c r="D141" s="11" t="s">
        <v>559</v>
      </c>
      <c r="E141" s="11" t="s">
        <v>667</v>
      </c>
      <c r="F141" s="10" t="s">
        <v>57</v>
      </c>
      <c r="G141" s="10" t="s">
        <v>76</v>
      </c>
      <c r="H141" s="11" t="s">
        <v>580</v>
      </c>
      <c r="I141" s="11" t="s">
        <v>668</v>
      </c>
      <c r="J141" s="11" t="s">
        <v>669</v>
      </c>
      <c r="K141" s="11" t="s">
        <v>547</v>
      </c>
      <c r="L141" s="11" t="s">
        <v>53</v>
      </c>
      <c r="M141" s="10" t="s">
        <v>13</v>
      </c>
      <c r="N141" s="12">
        <v>46315</v>
      </c>
      <c r="O141" s="10"/>
      <c r="P141" s="11"/>
    </row>
    <row r="142" spans="1:16" ht="48.75" customHeight="1" x14ac:dyDescent="0.35">
      <c r="A142" s="10">
        <v>141</v>
      </c>
      <c r="B142" s="10" t="s">
        <v>670</v>
      </c>
      <c r="C142" s="11" t="s">
        <v>21</v>
      </c>
      <c r="D142" s="11" t="s">
        <v>559</v>
      </c>
      <c r="E142" s="11" t="s">
        <v>671</v>
      </c>
      <c r="F142" s="10" t="s">
        <v>57</v>
      </c>
      <c r="G142" s="10" t="s">
        <v>76</v>
      </c>
      <c r="H142" s="11" t="s">
        <v>580</v>
      </c>
      <c r="I142" s="11" t="s">
        <v>672</v>
      </c>
      <c r="J142" s="11" t="s">
        <v>60</v>
      </c>
      <c r="K142" s="11" t="s">
        <v>673</v>
      </c>
      <c r="L142" s="11" t="s">
        <v>53</v>
      </c>
      <c r="M142" s="10" t="s">
        <v>13</v>
      </c>
      <c r="N142" s="12">
        <v>46315</v>
      </c>
      <c r="O142" s="10"/>
      <c r="P142" s="11"/>
    </row>
    <row r="143" spans="1:16" ht="48.75" customHeight="1" x14ac:dyDescent="0.35">
      <c r="A143" s="10">
        <v>142</v>
      </c>
      <c r="B143" s="10" t="s">
        <v>674</v>
      </c>
      <c r="C143" s="11" t="s">
        <v>21</v>
      </c>
      <c r="D143" s="11" t="s">
        <v>559</v>
      </c>
      <c r="E143" s="11" t="s">
        <v>675</v>
      </c>
      <c r="F143" s="10" t="s">
        <v>57</v>
      </c>
      <c r="G143" s="10" t="s">
        <v>76</v>
      </c>
      <c r="H143" s="11" t="s">
        <v>580</v>
      </c>
      <c r="I143" s="11" t="s">
        <v>676</v>
      </c>
      <c r="J143" s="11" t="s">
        <v>60</v>
      </c>
      <c r="K143" s="11" t="s">
        <v>657</v>
      </c>
      <c r="L143" s="11" t="s">
        <v>53</v>
      </c>
      <c r="M143" s="10" t="s">
        <v>13</v>
      </c>
      <c r="N143" s="12">
        <v>46315</v>
      </c>
      <c r="O143" s="10"/>
      <c r="P143" s="11"/>
    </row>
    <row r="144" spans="1:16" ht="63.75" customHeight="1" x14ac:dyDescent="0.35">
      <c r="A144" s="10">
        <v>143</v>
      </c>
      <c r="B144" s="10" t="s">
        <v>677</v>
      </c>
      <c r="C144" s="11" t="s">
        <v>21</v>
      </c>
      <c r="D144" s="11" t="s">
        <v>559</v>
      </c>
      <c r="E144" s="11" t="s">
        <v>678</v>
      </c>
      <c r="F144" s="10" t="s">
        <v>57</v>
      </c>
      <c r="G144" s="10" t="s">
        <v>76</v>
      </c>
      <c r="H144" s="11" t="s">
        <v>580</v>
      </c>
      <c r="I144" s="11" t="s">
        <v>679</v>
      </c>
      <c r="J144" s="11" t="s">
        <v>60</v>
      </c>
      <c r="K144" s="11" t="s">
        <v>680</v>
      </c>
      <c r="L144" s="11" t="s">
        <v>53</v>
      </c>
      <c r="M144" s="10" t="s">
        <v>13</v>
      </c>
      <c r="N144" s="12">
        <v>46315</v>
      </c>
      <c r="O144" s="10"/>
      <c r="P144" s="11"/>
    </row>
    <row r="145" spans="1:16" ht="93.75" customHeight="1" x14ac:dyDescent="0.35">
      <c r="A145" s="10">
        <v>144</v>
      </c>
      <c r="B145" s="10" t="s">
        <v>681</v>
      </c>
      <c r="C145" s="11" t="s">
        <v>21</v>
      </c>
      <c r="D145" s="11" t="s">
        <v>559</v>
      </c>
      <c r="E145" s="11" t="s">
        <v>682</v>
      </c>
      <c r="F145" s="10" t="s">
        <v>57</v>
      </c>
      <c r="G145" s="10" t="s">
        <v>49</v>
      </c>
      <c r="H145" s="11" t="s">
        <v>580</v>
      </c>
      <c r="I145" s="11" t="s">
        <v>683</v>
      </c>
      <c r="J145" s="11" t="s">
        <v>60</v>
      </c>
      <c r="K145" s="11" t="s">
        <v>684</v>
      </c>
      <c r="L145" s="11" t="s">
        <v>53</v>
      </c>
      <c r="M145" s="10" t="s">
        <v>13</v>
      </c>
      <c r="N145" s="12">
        <v>46315</v>
      </c>
      <c r="O145" s="10"/>
      <c r="P145" s="11"/>
    </row>
    <row r="146" spans="1:16" ht="48.75" customHeight="1" x14ac:dyDescent="0.35">
      <c r="A146" s="10">
        <v>145</v>
      </c>
      <c r="B146" s="10" t="s">
        <v>685</v>
      </c>
      <c r="C146" s="11" t="s">
        <v>21</v>
      </c>
      <c r="D146" s="11" t="s">
        <v>559</v>
      </c>
      <c r="E146" s="11" t="s">
        <v>686</v>
      </c>
      <c r="F146" s="10" t="s">
        <v>57</v>
      </c>
      <c r="G146" s="10" t="s">
        <v>76</v>
      </c>
      <c r="H146" s="11" t="s">
        <v>687</v>
      </c>
      <c r="I146" s="11" t="s">
        <v>688</v>
      </c>
      <c r="J146" s="11" t="s">
        <v>60</v>
      </c>
      <c r="K146" s="11" t="s">
        <v>400</v>
      </c>
      <c r="L146" s="11" t="s">
        <v>53</v>
      </c>
      <c r="M146" s="10" t="s">
        <v>13</v>
      </c>
      <c r="N146" s="12">
        <v>46315</v>
      </c>
      <c r="O146" s="10"/>
      <c r="P146" s="11"/>
    </row>
    <row r="147" spans="1:16" ht="33.75" customHeight="1" x14ac:dyDescent="0.35">
      <c r="A147" s="10">
        <v>146</v>
      </c>
      <c r="B147" s="10" t="s">
        <v>689</v>
      </c>
      <c r="C147" s="11" t="s">
        <v>21</v>
      </c>
      <c r="D147" s="11" t="s">
        <v>559</v>
      </c>
      <c r="E147" s="11" t="s">
        <v>690</v>
      </c>
      <c r="F147" s="10" t="s">
        <v>57</v>
      </c>
      <c r="G147" s="10" t="s">
        <v>76</v>
      </c>
      <c r="H147" s="11" t="s">
        <v>691</v>
      </c>
      <c r="I147" s="11" t="s">
        <v>394</v>
      </c>
      <c r="J147" s="11" t="s">
        <v>60</v>
      </c>
      <c r="K147" s="11" t="s">
        <v>692</v>
      </c>
      <c r="L147" s="11" t="s">
        <v>53</v>
      </c>
      <c r="M147" s="10" t="s">
        <v>13</v>
      </c>
      <c r="N147" s="12">
        <v>46315</v>
      </c>
      <c r="O147" s="10"/>
      <c r="P147" s="11"/>
    </row>
    <row r="148" spans="1:16" ht="78.75" customHeight="1" x14ac:dyDescent="0.35">
      <c r="A148" s="10">
        <v>147</v>
      </c>
      <c r="B148" s="10" t="s">
        <v>693</v>
      </c>
      <c r="C148" s="11" t="s">
        <v>22</v>
      </c>
      <c r="D148" s="11" t="s">
        <v>694</v>
      </c>
      <c r="E148" s="11" t="s">
        <v>695</v>
      </c>
      <c r="F148" s="10" t="s">
        <v>48</v>
      </c>
      <c r="G148" s="10" t="s">
        <v>49</v>
      </c>
      <c r="H148" s="11" t="s">
        <v>696</v>
      </c>
      <c r="I148" s="11" t="s">
        <v>697</v>
      </c>
      <c r="J148" s="11" t="s">
        <v>60</v>
      </c>
      <c r="K148" s="11" t="s">
        <v>698</v>
      </c>
      <c r="L148" s="11" t="s">
        <v>53</v>
      </c>
      <c r="M148" s="10" t="s">
        <v>13</v>
      </c>
      <c r="N148" s="12">
        <v>46318</v>
      </c>
      <c r="O148" s="10"/>
      <c r="P148" s="11"/>
    </row>
    <row r="149" spans="1:16" ht="48.75" customHeight="1" x14ac:dyDescent="0.35">
      <c r="A149" s="10">
        <v>148</v>
      </c>
      <c r="B149" s="10" t="s">
        <v>699</v>
      </c>
      <c r="C149" s="11" t="s">
        <v>22</v>
      </c>
      <c r="D149" s="11" t="s">
        <v>694</v>
      </c>
      <c r="E149" s="11" t="s">
        <v>700</v>
      </c>
      <c r="F149" s="10" t="s">
        <v>48</v>
      </c>
      <c r="G149" s="10" t="s">
        <v>76</v>
      </c>
      <c r="H149" s="11" t="s">
        <v>701</v>
      </c>
      <c r="I149" s="11" t="s">
        <v>228</v>
      </c>
      <c r="J149" s="11" t="s">
        <v>60</v>
      </c>
      <c r="K149" s="11" t="s">
        <v>702</v>
      </c>
      <c r="L149" s="11" t="s">
        <v>53</v>
      </c>
      <c r="M149" s="10" t="s">
        <v>13</v>
      </c>
      <c r="N149" s="12">
        <v>46318</v>
      </c>
      <c r="O149" s="10"/>
      <c r="P149" s="11"/>
    </row>
    <row r="150" spans="1:16" ht="48.75" customHeight="1" x14ac:dyDescent="0.35">
      <c r="A150" s="10">
        <v>149</v>
      </c>
      <c r="B150" s="10" t="s">
        <v>703</v>
      </c>
      <c r="C150" s="11" t="s">
        <v>22</v>
      </c>
      <c r="D150" s="11" t="s">
        <v>694</v>
      </c>
      <c r="E150" s="11" t="s">
        <v>704</v>
      </c>
      <c r="F150" s="10" t="s">
        <v>48</v>
      </c>
      <c r="G150" s="10" t="s">
        <v>76</v>
      </c>
      <c r="H150" s="11" t="s">
        <v>705</v>
      </c>
      <c r="I150" s="11" t="s">
        <v>706</v>
      </c>
      <c r="J150" s="11" t="s">
        <v>60</v>
      </c>
      <c r="K150" s="11" t="s">
        <v>707</v>
      </c>
      <c r="L150" s="11" t="s">
        <v>53</v>
      </c>
      <c r="M150" s="10" t="s">
        <v>13</v>
      </c>
      <c r="N150" s="12">
        <v>46318</v>
      </c>
      <c r="O150" s="10"/>
      <c r="P150" s="11"/>
    </row>
    <row r="151" spans="1:16" ht="48.75" customHeight="1" x14ac:dyDescent="0.35">
      <c r="A151" s="10">
        <v>150</v>
      </c>
      <c r="B151" s="10" t="s">
        <v>708</v>
      </c>
      <c r="C151" s="11" t="s">
        <v>22</v>
      </c>
      <c r="D151" s="11" t="s">
        <v>694</v>
      </c>
      <c r="E151" s="11" t="s">
        <v>709</v>
      </c>
      <c r="F151" s="10" t="s">
        <v>48</v>
      </c>
      <c r="G151" s="10" t="s">
        <v>49</v>
      </c>
      <c r="H151" s="11" t="s">
        <v>710</v>
      </c>
      <c r="I151" s="11" t="s">
        <v>711</v>
      </c>
      <c r="J151" s="11" t="s">
        <v>60</v>
      </c>
      <c r="K151" s="11" t="s">
        <v>712</v>
      </c>
      <c r="L151" s="11" t="s">
        <v>53</v>
      </c>
      <c r="M151" s="10" t="s">
        <v>13</v>
      </c>
      <c r="N151" s="12">
        <v>46318</v>
      </c>
      <c r="O151" s="10"/>
      <c r="P151" s="11"/>
    </row>
    <row r="152" spans="1:16" ht="48.75" customHeight="1" x14ac:dyDescent="0.35">
      <c r="A152" s="10">
        <v>151</v>
      </c>
      <c r="B152" s="10" t="s">
        <v>713</v>
      </c>
      <c r="C152" s="11" t="s">
        <v>22</v>
      </c>
      <c r="D152" s="11" t="s">
        <v>694</v>
      </c>
      <c r="E152" s="11" t="s">
        <v>714</v>
      </c>
      <c r="F152" s="10" t="s">
        <v>48</v>
      </c>
      <c r="G152" s="10" t="s">
        <v>49</v>
      </c>
      <c r="H152" s="11" t="s">
        <v>715</v>
      </c>
      <c r="I152" s="11" t="s">
        <v>716</v>
      </c>
      <c r="J152" s="11" t="s">
        <v>717</v>
      </c>
      <c r="K152" s="11" t="s">
        <v>718</v>
      </c>
      <c r="L152" s="11" t="s">
        <v>53</v>
      </c>
      <c r="M152" s="10" t="s">
        <v>13</v>
      </c>
      <c r="N152" s="12">
        <v>46318</v>
      </c>
      <c r="O152" s="10"/>
      <c r="P152" s="11"/>
    </row>
    <row r="153" spans="1:16" ht="48.75" customHeight="1" x14ac:dyDescent="0.35">
      <c r="A153" s="10">
        <v>152</v>
      </c>
      <c r="B153" s="10" t="s">
        <v>719</v>
      </c>
      <c r="C153" s="11" t="s">
        <v>22</v>
      </c>
      <c r="D153" s="11" t="s">
        <v>694</v>
      </c>
      <c r="E153" s="11" t="s">
        <v>720</v>
      </c>
      <c r="F153" s="10" t="s">
        <v>48</v>
      </c>
      <c r="G153" s="10" t="s">
        <v>49</v>
      </c>
      <c r="H153" s="11" t="s">
        <v>721</v>
      </c>
      <c r="I153" s="11" t="s">
        <v>722</v>
      </c>
      <c r="J153" s="11" t="s">
        <v>60</v>
      </c>
      <c r="K153" s="11" t="s">
        <v>723</v>
      </c>
      <c r="L153" s="11" t="s">
        <v>53</v>
      </c>
      <c r="M153" s="10" t="s">
        <v>13</v>
      </c>
      <c r="N153" s="12">
        <v>46318</v>
      </c>
      <c r="O153" s="10"/>
      <c r="P153" s="11"/>
    </row>
    <row r="154" spans="1:16" ht="33.75" customHeight="1" x14ac:dyDescent="0.35">
      <c r="A154" s="10">
        <v>153</v>
      </c>
      <c r="B154" s="10" t="s">
        <v>724</v>
      </c>
      <c r="C154" s="11" t="s">
        <v>22</v>
      </c>
      <c r="D154" s="11" t="s">
        <v>694</v>
      </c>
      <c r="E154" s="11" t="s">
        <v>725</v>
      </c>
      <c r="F154" s="10" t="s">
        <v>48</v>
      </c>
      <c r="G154" s="10" t="s">
        <v>76</v>
      </c>
      <c r="H154" s="11" t="s">
        <v>726</v>
      </c>
      <c r="I154" s="11" t="s">
        <v>727</v>
      </c>
      <c r="J154" s="11" t="s">
        <v>60</v>
      </c>
      <c r="K154" s="11" t="s">
        <v>728</v>
      </c>
      <c r="L154" s="11" t="s">
        <v>53</v>
      </c>
      <c r="M154" s="10" t="s">
        <v>13</v>
      </c>
      <c r="N154" s="12">
        <v>46318</v>
      </c>
      <c r="O154" s="10"/>
      <c r="P154" s="11"/>
    </row>
    <row r="155" spans="1:16" ht="48.75" customHeight="1" x14ac:dyDescent="0.35">
      <c r="A155" s="10">
        <v>154</v>
      </c>
      <c r="B155" s="10" t="s">
        <v>729</v>
      </c>
      <c r="C155" s="11" t="s">
        <v>22</v>
      </c>
      <c r="D155" s="11" t="s">
        <v>694</v>
      </c>
      <c r="E155" s="11" t="s">
        <v>730</v>
      </c>
      <c r="F155" s="10" t="s">
        <v>48</v>
      </c>
      <c r="G155" s="10" t="s">
        <v>76</v>
      </c>
      <c r="H155" s="11" t="s">
        <v>731</v>
      </c>
      <c r="I155" s="11" t="s">
        <v>732</v>
      </c>
      <c r="J155" s="11" t="s">
        <v>60</v>
      </c>
      <c r="K155" s="11" t="s">
        <v>438</v>
      </c>
      <c r="L155" s="11" t="s">
        <v>53</v>
      </c>
      <c r="M155" s="10" t="s">
        <v>13</v>
      </c>
      <c r="N155" s="12">
        <v>46318</v>
      </c>
      <c r="O155" s="10"/>
      <c r="P155" s="11"/>
    </row>
    <row r="156" spans="1:16" ht="33.75" customHeight="1" x14ac:dyDescent="0.35">
      <c r="A156" s="10">
        <v>155</v>
      </c>
      <c r="B156" s="10" t="s">
        <v>733</v>
      </c>
      <c r="C156" s="11" t="s">
        <v>22</v>
      </c>
      <c r="D156" s="11" t="s">
        <v>694</v>
      </c>
      <c r="E156" s="11" t="s">
        <v>734</v>
      </c>
      <c r="F156" s="10" t="s">
        <v>48</v>
      </c>
      <c r="G156" s="10" t="s">
        <v>288</v>
      </c>
      <c r="H156" s="11" t="s">
        <v>731</v>
      </c>
      <c r="I156" s="11" t="s">
        <v>735</v>
      </c>
      <c r="J156" s="11" t="s">
        <v>60</v>
      </c>
      <c r="K156" s="11" t="s">
        <v>442</v>
      </c>
      <c r="L156" s="11" t="s">
        <v>53</v>
      </c>
      <c r="M156" s="10" t="s">
        <v>13</v>
      </c>
      <c r="N156" s="12">
        <v>46318</v>
      </c>
      <c r="O156" s="10"/>
      <c r="P156" s="11"/>
    </row>
    <row r="157" spans="1:16" ht="33.75" customHeight="1" x14ac:dyDescent="0.35">
      <c r="A157" s="10">
        <v>156</v>
      </c>
      <c r="B157" s="10" t="s">
        <v>736</v>
      </c>
      <c r="C157" s="11" t="s">
        <v>22</v>
      </c>
      <c r="D157" s="11" t="s">
        <v>694</v>
      </c>
      <c r="E157" s="11" t="s">
        <v>737</v>
      </c>
      <c r="F157" s="10" t="s">
        <v>48</v>
      </c>
      <c r="G157" s="10" t="s">
        <v>76</v>
      </c>
      <c r="H157" s="11" t="s">
        <v>445</v>
      </c>
      <c r="I157" s="11" t="s">
        <v>446</v>
      </c>
      <c r="J157" s="11" t="s">
        <v>60</v>
      </c>
      <c r="K157" s="11" t="s">
        <v>738</v>
      </c>
      <c r="L157" s="11" t="s">
        <v>53</v>
      </c>
      <c r="M157" s="10" t="s">
        <v>13</v>
      </c>
      <c r="N157" s="12">
        <v>46318</v>
      </c>
      <c r="O157" s="10"/>
      <c r="P157" s="11"/>
    </row>
    <row r="158" spans="1:16" ht="48.75" customHeight="1" x14ac:dyDescent="0.35">
      <c r="A158" s="10">
        <v>157</v>
      </c>
      <c r="B158" s="10" t="s">
        <v>739</v>
      </c>
      <c r="C158" s="11" t="s">
        <v>22</v>
      </c>
      <c r="D158" s="11" t="s">
        <v>694</v>
      </c>
      <c r="E158" s="11" t="s">
        <v>740</v>
      </c>
      <c r="F158" s="10" t="s">
        <v>48</v>
      </c>
      <c r="G158" s="10" t="s">
        <v>49</v>
      </c>
      <c r="H158" s="11" t="s">
        <v>741</v>
      </c>
      <c r="I158" s="11" t="s">
        <v>742</v>
      </c>
      <c r="J158" s="11" t="s">
        <v>60</v>
      </c>
      <c r="K158" s="11" t="s">
        <v>743</v>
      </c>
      <c r="L158" s="11" t="s">
        <v>53</v>
      </c>
      <c r="M158" s="10" t="s">
        <v>13</v>
      </c>
      <c r="N158" s="12">
        <v>46318</v>
      </c>
      <c r="O158" s="10"/>
      <c r="P158" s="11"/>
    </row>
    <row r="159" spans="1:16" ht="48.75" customHeight="1" x14ac:dyDescent="0.35">
      <c r="A159" s="10">
        <v>158</v>
      </c>
      <c r="B159" s="10" t="s">
        <v>744</v>
      </c>
      <c r="C159" s="11" t="s">
        <v>22</v>
      </c>
      <c r="D159" s="11" t="s">
        <v>694</v>
      </c>
      <c r="E159" s="11" t="s">
        <v>745</v>
      </c>
      <c r="F159" s="10" t="s">
        <v>48</v>
      </c>
      <c r="G159" s="10" t="s">
        <v>288</v>
      </c>
      <c r="H159" s="11" t="s">
        <v>746</v>
      </c>
      <c r="I159" s="11" t="s">
        <v>747</v>
      </c>
      <c r="J159" s="11" t="s">
        <v>60</v>
      </c>
      <c r="K159" s="11" t="s">
        <v>748</v>
      </c>
      <c r="L159" s="11" t="s">
        <v>53</v>
      </c>
      <c r="M159" s="10" t="s">
        <v>13</v>
      </c>
      <c r="N159" s="12">
        <v>46318</v>
      </c>
      <c r="O159" s="10"/>
      <c r="P159" s="11"/>
    </row>
    <row r="160" spans="1:16" ht="33.75" customHeight="1" x14ac:dyDescent="0.35">
      <c r="A160" s="10">
        <v>159</v>
      </c>
      <c r="B160" s="10" t="s">
        <v>749</v>
      </c>
      <c r="C160" s="11" t="s">
        <v>22</v>
      </c>
      <c r="D160" s="11" t="s">
        <v>694</v>
      </c>
      <c r="E160" s="11" t="s">
        <v>750</v>
      </c>
      <c r="F160" s="10" t="s">
        <v>48</v>
      </c>
      <c r="G160" s="10" t="s">
        <v>76</v>
      </c>
      <c r="H160" s="11" t="s">
        <v>470</v>
      </c>
      <c r="I160" s="11" t="s">
        <v>751</v>
      </c>
      <c r="J160" s="11" t="s">
        <v>60</v>
      </c>
      <c r="K160" s="11" t="s">
        <v>752</v>
      </c>
      <c r="L160" s="11" t="s">
        <v>53</v>
      </c>
      <c r="M160" s="10" t="s">
        <v>13</v>
      </c>
      <c r="N160" s="12">
        <v>46318</v>
      </c>
      <c r="O160" s="10"/>
      <c r="P160" s="11"/>
    </row>
    <row r="161" spans="1:16" ht="63.75" customHeight="1" x14ac:dyDescent="0.35">
      <c r="A161" s="10">
        <v>160</v>
      </c>
      <c r="B161" s="10" t="s">
        <v>753</v>
      </c>
      <c r="C161" s="11" t="s">
        <v>22</v>
      </c>
      <c r="D161" s="11" t="s">
        <v>694</v>
      </c>
      <c r="E161" s="11" t="s">
        <v>754</v>
      </c>
      <c r="F161" s="10" t="s">
        <v>48</v>
      </c>
      <c r="G161" s="10" t="s">
        <v>76</v>
      </c>
      <c r="H161" s="11" t="s">
        <v>755</v>
      </c>
      <c r="I161" s="11" t="s">
        <v>266</v>
      </c>
      <c r="J161" s="11" t="s">
        <v>60</v>
      </c>
      <c r="K161" s="11" t="s">
        <v>756</v>
      </c>
      <c r="L161" s="11" t="s">
        <v>53</v>
      </c>
      <c r="M161" s="10" t="s">
        <v>13</v>
      </c>
      <c r="N161" s="12">
        <v>46318</v>
      </c>
      <c r="O161" s="10"/>
      <c r="P161" s="11"/>
    </row>
    <row r="162" spans="1:16" ht="63.75" customHeight="1" x14ac:dyDescent="0.35">
      <c r="A162" s="10">
        <v>161</v>
      </c>
      <c r="B162" s="10" t="s">
        <v>757</v>
      </c>
      <c r="C162" s="11" t="s">
        <v>22</v>
      </c>
      <c r="D162" s="11" t="s">
        <v>694</v>
      </c>
      <c r="E162" s="11" t="s">
        <v>758</v>
      </c>
      <c r="F162" s="10" t="s">
        <v>48</v>
      </c>
      <c r="G162" s="10" t="s">
        <v>76</v>
      </c>
      <c r="H162" s="11" t="s">
        <v>759</v>
      </c>
      <c r="I162" s="11" t="s">
        <v>760</v>
      </c>
      <c r="J162" s="11" t="s">
        <v>60</v>
      </c>
      <c r="K162" s="11" t="s">
        <v>761</v>
      </c>
      <c r="L162" s="11" t="s">
        <v>53</v>
      </c>
      <c r="M162" s="10" t="s">
        <v>13</v>
      </c>
      <c r="N162" s="12">
        <v>46318</v>
      </c>
      <c r="O162" s="10"/>
      <c r="P162" s="11"/>
    </row>
    <row r="163" spans="1:16" ht="78.75" customHeight="1" x14ac:dyDescent="0.35">
      <c r="A163" s="10">
        <v>162</v>
      </c>
      <c r="B163" s="10" t="s">
        <v>762</v>
      </c>
      <c r="C163" s="11" t="s">
        <v>22</v>
      </c>
      <c r="D163" s="11" t="s">
        <v>694</v>
      </c>
      <c r="E163" s="11" t="s">
        <v>763</v>
      </c>
      <c r="F163" s="10" t="s">
        <v>48</v>
      </c>
      <c r="G163" s="10" t="s">
        <v>49</v>
      </c>
      <c r="H163" s="11" t="s">
        <v>764</v>
      </c>
      <c r="I163" s="11" t="s">
        <v>765</v>
      </c>
      <c r="J163" s="11" t="s">
        <v>60</v>
      </c>
      <c r="K163" s="11" t="s">
        <v>766</v>
      </c>
      <c r="L163" s="11" t="s">
        <v>53</v>
      </c>
      <c r="M163" s="10" t="s">
        <v>13</v>
      </c>
      <c r="N163" s="12">
        <v>46318</v>
      </c>
      <c r="O163" s="10"/>
      <c r="P163" s="11"/>
    </row>
    <row r="164" spans="1:16" ht="78.75" customHeight="1" x14ac:dyDescent="0.35">
      <c r="A164" s="10">
        <v>163</v>
      </c>
      <c r="B164" s="10" t="s">
        <v>767</v>
      </c>
      <c r="C164" s="11" t="s">
        <v>22</v>
      </c>
      <c r="D164" s="11" t="s">
        <v>694</v>
      </c>
      <c r="E164" s="11" t="s">
        <v>768</v>
      </c>
      <c r="F164" s="10" t="s">
        <v>48</v>
      </c>
      <c r="G164" s="10" t="s">
        <v>49</v>
      </c>
      <c r="H164" s="11" t="s">
        <v>764</v>
      </c>
      <c r="I164" s="11" t="s">
        <v>769</v>
      </c>
      <c r="J164" s="11" t="s">
        <v>770</v>
      </c>
      <c r="K164" s="11" t="s">
        <v>771</v>
      </c>
      <c r="L164" s="11" t="s">
        <v>53</v>
      </c>
      <c r="M164" s="10" t="s">
        <v>13</v>
      </c>
      <c r="N164" s="12">
        <v>46318</v>
      </c>
      <c r="O164" s="10"/>
      <c r="P164" s="11"/>
    </row>
    <row r="165" spans="1:16" ht="78.75" customHeight="1" x14ac:dyDescent="0.35">
      <c r="A165" s="10">
        <v>164</v>
      </c>
      <c r="B165" s="10" t="s">
        <v>772</v>
      </c>
      <c r="C165" s="11" t="s">
        <v>22</v>
      </c>
      <c r="D165" s="11" t="s">
        <v>694</v>
      </c>
      <c r="E165" s="11" t="s">
        <v>773</v>
      </c>
      <c r="F165" s="10" t="s">
        <v>48</v>
      </c>
      <c r="G165" s="10" t="s">
        <v>49</v>
      </c>
      <c r="H165" s="11" t="s">
        <v>764</v>
      </c>
      <c r="I165" s="11" t="s">
        <v>774</v>
      </c>
      <c r="J165" s="11" t="s">
        <v>60</v>
      </c>
      <c r="K165" s="11" t="s">
        <v>775</v>
      </c>
      <c r="L165" s="11" t="s">
        <v>53</v>
      </c>
      <c r="M165" s="10" t="s">
        <v>13</v>
      </c>
      <c r="N165" s="12">
        <v>46318</v>
      </c>
      <c r="O165" s="10"/>
      <c r="P165" s="11"/>
    </row>
    <row r="166" spans="1:16" ht="78.75" customHeight="1" x14ac:dyDescent="0.35">
      <c r="A166" s="10">
        <v>165</v>
      </c>
      <c r="B166" s="10" t="s">
        <v>776</v>
      </c>
      <c r="C166" s="11" t="s">
        <v>22</v>
      </c>
      <c r="D166" s="11" t="s">
        <v>694</v>
      </c>
      <c r="E166" s="11" t="s">
        <v>777</v>
      </c>
      <c r="F166" s="10" t="s">
        <v>48</v>
      </c>
      <c r="G166" s="10" t="s">
        <v>76</v>
      </c>
      <c r="H166" s="11" t="s">
        <v>764</v>
      </c>
      <c r="I166" s="11" t="s">
        <v>778</v>
      </c>
      <c r="J166" s="11" t="s">
        <v>60</v>
      </c>
      <c r="K166" s="11" t="s">
        <v>779</v>
      </c>
      <c r="L166" s="11" t="s">
        <v>53</v>
      </c>
      <c r="M166" s="10" t="s">
        <v>13</v>
      </c>
      <c r="N166" s="12">
        <v>46318</v>
      </c>
      <c r="O166" s="10"/>
      <c r="P166" s="11"/>
    </row>
    <row r="167" spans="1:16" ht="63.75" customHeight="1" x14ac:dyDescent="0.35">
      <c r="A167" s="10">
        <v>166</v>
      </c>
      <c r="B167" s="10" t="s">
        <v>780</v>
      </c>
      <c r="C167" s="11" t="s">
        <v>22</v>
      </c>
      <c r="D167" s="11" t="s">
        <v>694</v>
      </c>
      <c r="E167" s="11" t="s">
        <v>781</v>
      </c>
      <c r="F167" s="10" t="s">
        <v>48</v>
      </c>
      <c r="G167" s="10" t="s">
        <v>76</v>
      </c>
      <c r="H167" s="11" t="s">
        <v>764</v>
      </c>
      <c r="I167" s="11" t="s">
        <v>782</v>
      </c>
      <c r="J167" s="11" t="s">
        <v>783</v>
      </c>
      <c r="K167" s="11" t="s">
        <v>784</v>
      </c>
      <c r="L167" s="11" t="s">
        <v>53</v>
      </c>
      <c r="M167" s="10" t="s">
        <v>13</v>
      </c>
      <c r="N167" s="12">
        <v>46318</v>
      </c>
      <c r="O167" s="10"/>
      <c r="P167" s="11"/>
    </row>
    <row r="168" spans="1:16" ht="63.75" customHeight="1" x14ac:dyDescent="0.35">
      <c r="A168" s="10">
        <v>167</v>
      </c>
      <c r="B168" s="10" t="s">
        <v>785</v>
      </c>
      <c r="C168" s="11" t="s">
        <v>22</v>
      </c>
      <c r="D168" s="11" t="s">
        <v>694</v>
      </c>
      <c r="E168" s="11" t="s">
        <v>786</v>
      </c>
      <c r="F168" s="10" t="s">
        <v>48</v>
      </c>
      <c r="G168" s="10" t="s">
        <v>288</v>
      </c>
      <c r="H168" s="11" t="s">
        <v>764</v>
      </c>
      <c r="I168" s="11" t="s">
        <v>787</v>
      </c>
      <c r="J168" s="11" t="s">
        <v>60</v>
      </c>
      <c r="K168" s="11" t="s">
        <v>788</v>
      </c>
      <c r="L168" s="11" t="s">
        <v>53</v>
      </c>
      <c r="M168" s="10" t="s">
        <v>13</v>
      </c>
      <c r="N168" s="12">
        <v>46318</v>
      </c>
      <c r="O168" s="10"/>
      <c r="P168" s="11"/>
    </row>
    <row r="169" spans="1:16" ht="48.75" customHeight="1" x14ac:dyDescent="0.35">
      <c r="A169" s="10">
        <v>168</v>
      </c>
      <c r="B169" s="10" t="s">
        <v>789</v>
      </c>
      <c r="C169" s="11" t="s">
        <v>22</v>
      </c>
      <c r="D169" s="11" t="s">
        <v>694</v>
      </c>
      <c r="E169" s="11" t="s">
        <v>790</v>
      </c>
      <c r="F169" s="10" t="s">
        <v>48</v>
      </c>
      <c r="G169" s="10" t="s">
        <v>76</v>
      </c>
      <c r="H169" s="11" t="s">
        <v>505</v>
      </c>
      <c r="I169" s="11" t="s">
        <v>506</v>
      </c>
      <c r="J169" s="11" t="s">
        <v>60</v>
      </c>
      <c r="K169" s="11" t="s">
        <v>791</v>
      </c>
      <c r="L169" s="11" t="s">
        <v>53</v>
      </c>
      <c r="M169" s="10" t="s">
        <v>13</v>
      </c>
      <c r="N169" s="12">
        <v>46318</v>
      </c>
      <c r="O169" s="10"/>
      <c r="P169" s="11"/>
    </row>
    <row r="170" spans="1:16" ht="48.75" customHeight="1" x14ac:dyDescent="0.35">
      <c r="A170" s="10">
        <v>169</v>
      </c>
      <c r="B170" s="10" t="s">
        <v>792</v>
      </c>
      <c r="C170" s="11" t="s">
        <v>22</v>
      </c>
      <c r="D170" s="11" t="s">
        <v>694</v>
      </c>
      <c r="E170" s="11" t="s">
        <v>793</v>
      </c>
      <c r="F170" s="10" t="s">
        <v>48</v>
      </c>
      <c r="G170" s="10" t="s">
        <v>49</v>
      </c>
      <c r="H170" s="11" t="s">
        <v>764</v>
      </c>
      <c r="I170" s="11" t="s">
        <v>275</v>
      </c>
      <c r="J170" s="11" t="s">
        <v>60</v>
      </c>
      <c r="K170" s="11" t="s">
        <v>794</v>
      </c>
      <c r="L170" s="11" t="s">
        <v>53</v>
      </c>
      <c r="M170" s="10" t="s">
        <v>13</v>
      </c>
      <c r="N170" s="12">
        <v>46318</v>
      </c>
      <c r="O170" s="10"/>
      <c r="P170" s="11"/>
    </row>
    <row r="171" spans="1:16" ht="48.75" customHeight="1" x14ac:dyDescent="0.35">
      <c r="A171" s="10">
        <v>170</v>
      </c>
      <c r="B171" s="10" t="s">
        <v>795</v>
      </c>
      <c r="C171" s="11" t="s">
        <v>22</v>
      </c>
      <c r="D171" s="11" t="s">
        <v>694</v>
      </c>
      <c r="E171" s="11" t="s">
        <v>796</v>
      </c>
      <c r="F171" s="10" t="s">
        <v>57</v>
      </c>
      <c r="G171" s="10" t="s">
        <v>76</v>
      </c>
      <c r="H171" s="11" t="s">
        <v>470</v>
      </c>
      <c r="I171" s="11" t="s">
        <v>519</v>
      </c>
      <c r="J171" s="11" t="s">
        <v>520</v>
      </c>
      <c r="K171" s="11" t="s">
        <v>294</v>
      </c>
      <c r="L171" s="11" t="s">
        <v>53</v>
      </c>
      <c r="M171" s="10" t="s">
        <v>13</v>
      </c>
      <c r="N171" s="12">
        <v>46316</v>
      </c>
      <c r="O171" s="10"/>
      <c r="P171" s="11"/>
    </row>
    <row r="172" spans="1:16" ht="33.75" customHeight="1" x14ac:dyDescent="0.35">
      <c r="A172" s="10">
        <v>171</v>
      </c>
      <c r="B172" s="10" t="s">
        <v>797</v>
      </c>
      <c r="C172" s="11" t="s">
        <v>22</v>
      </c>
      <c r="D172" s="11" t="s">
        <v>694</v>
      </c>
      <c r="E172" s="11" t="s">
        <v>798</v>
      </c>
      <c r="F172" s="10" t="s">
        <v>57</v>
      </c>
      <c r="G172" s="10" t="s">
        <v>76</v>
      </c>
      <c r="H172" s="11" t="s">
        <v>470</v>
      </c>
      <c r="I172" s="11" t="s">
        <v>799</v>
      </c>
      <c r="J172" s="11" t="s">
        <v>800</v>
      </c>
      <c r="K172" s="11" t="s">
        <v>203</v>
      </c>
      <c r="L172" s="11" t="s">
        <v>53</v>
      </c>
      <c r="M172" s="10" t="s">
        <v>13</v>
      </c>
      <c r="N172" s="12">
        <v>46316</v>
      </c>
      <c r="O172" s="10"/>
      <c r="P172" s="11"/>
    </row>
    <row r="173" spans="1:16" ht="48.75" customHeight="1" x14ac:dyDescent="0.35">
      <c r="A173" s="10">
        <v>172</v>
      </c>
      <c r="B173" s="10" t="s">
        <v>801</v>
      </c>
      <c r="C173" s="11" t="s">
        <v>22</v>
      </c>
      <c r="D173" s="11" t="s">
        <v>694</v>
      </c>
      <c r="E173" s="11" t="s">
        <v>802</v>
      </c>
      <c r="F173" s="10" t="s">
        <v>57</v>
      </c>
      <c r="G173" s="10" t="s">
        <v>288</v>
      </c>
      <c r="H173" s="11" t="s">
        <v>470</v>
      </c>
      <c r="I173" s="11" t="s">
        <v>297</v>
      </c>
      <c r="J173" s="11" t="s">
        <v>298</v>
      </c>
      <c r="K173" s="11" t="s">
        <v>299</v>
      </c>
      <c r="L173" s="11" t="s">
        <v>53</v>
      </c>
      <c r="M173" s="10" t="s">
        <v>13</v>
      </c>
      <c r="N173" s="12">
        <v>46316</v>
      </c>
      <c r="O173" s="10"/>
      <c r="P173" s="11"/>
    </row>
    <row r="174" spans="1:16" ht="48.75" customHeight="1" x14ac:dyDescent="0.35">
      <c r="A174" s="10">
        <v>173</v>
      </c>
      <c r="B174" s="10" t="s">
        <v>803</v>
      </c>
      <c r="C174" s="11" t="s">
        <v>22</v>
      </c>
      <c r="D174" s="11" t="s">
        <v>694</v>
      </c>
      <c r="E174" s="11" t="s">
        <v>804</v>
      </c>
      <c r="F174" s="10" t="s">
        <v>57</v>
      </c>
      <c r="G174" s="10" t="s">
        <v>288</v>
      </c>
      <c r="H174" s="11" t="s">
        <v>470</v>
      </c>
      <c r="I174" s="11" t="s">
        <v>525</v>
      </c>
      <c r="J174" s="11" t="s">
        <v>60</v>
      </c>
      <c r="K174" s="11" t="s">
        <v>526</v>
      </c>
      <c r="L174" s="11" t="s">
        <v>53</v>
      </c>
      <c r="M174" s="10" t="s">
        <v>13</v>
      </c>
      <c r="N174" s="12">
        <v>46318</v>
      </c>
      <c r="O174" s="10"/>
      <c r="P174" s="11"/>
    </row>
    <row r="175" spans="1:16" ht="33.75" customHeight="1" x14ac:dyDescent="0.35">
      <c r="A175" s="10">
        <v>174</v>
      </c>
      <c r="B175" s="10" t="s">
        <v>805</v>
      </c>
      <c r="C175" s="11" t="s">
        <v>22</v>
      </c>
      <c r="D175" s="11" t="s">
        <v>694</v>
      </c>
      <c r="E175" s="11" t="s">
        <v>806</v>
      </c>
      <c r="F175" s="10" t="s">
        <v>57</v>
      </c>
      <c r="G175" s="10" t="s">
        <v>288</v>
      </c>
      <c r="H175" s="11" t="s">
        <v>470</v>
      </c>
      <c r="I175" s="11" t="s">
        <v>807</v>
      </c>
      <c r="J175" s="11" t="s">
        <v>60</v>
      </c>
      <c r="K175" s="11" t="s">
        <v>808</v>
      </c>
      <c r="L175" s="11" t="s">
        <v>53</v>
      </c>
      <c r="M175" s="10" t="s">
        <v>13</v>
      </c>
      <c r="N175" s="12">
        <v>46318</v>
      </c>
      <c r="O175" s="10"/>
      <c r="P175" s="11"/>
    </row>
    <row r="176" spans="1:16" ht="48.75" customHeight="1" x14ac:dyDescent="0.35">
      <c r="A176" s="10">
        <v>175</v>
      </c>
      <c r="B176" s="10" t="s">
        <v>809</v>
      </c>
      <c r="C176" s="11" t="s">
        <v>22</v>
      </c>
      <c r="D176" s="11" t="s">
        <v>694</v>
      </c>
      <c r="E176" s="11" t="s">
        <v>810</v>
      </c>
      <c r="F176" s="10" t="s">
        <v>57</v>
      </c>
      <c r="G176" s="10" t="s">
        <v>76</v>
      </c>
      <c r="H176" s="11" t="s">
        <v>731</v>
      </c>
      <c r="I176" s="11" t="s">
        <v>811</v>
      </c>
      <c r="J176" s="11" t="s">
        <v>60</v>
      </c>
      <c r="K176" s="11" t="s">
        <v>812</v>
      </c>
      <c r="L176" s="11" t="s">
        <v>53</v>
      </c>
      <c r="M176" s="10" t="s">
        <v>13</v>
      </c>
      <c r="N176" s="12">
        <v>46318</v>
      </c>
      <c r="O176" s="10"/>
      <c r="P176" s="11"/>
    </row>
    <row r="177" spans="1:16" ht="48.75" customHeight="1" x14ac:dyDescent="0.35">
      <c r="A177" s="10">
        <v>176</v>
      </c>
      <c r="B177" s="10" t="s">
        <v>813</v>
      </c>
      <c r="C177" s="11" t="s">
        <v>22</v>
      </c>
      <c r="D177" s="11" t="s">
        <v>694</v>
      </c>
      <c r="E177" s="11" t="s">
        <v>814</v>
      </c>
      <c r="F177" s="10" t="s">
        <v>57</v>
      </c>
      <c r="G177" s="10" t="s">
        <v>49</v>
      </c>
      <c r="H177" s="11" t="s">
        <v>764</v>
      </c>
      <c r="I177" s="11" t="s">
        <v>815</v>
      </c>
      <c r="J177" s="11" t="s">
        <v>60</v>
      </c>
      <c r="K177" s="11" t="s">
        <v>816</v>
      </c>
      <c r="L177" s="11" t="s">
        <v>53</v>
      </c>
      <c r="M177" s="10" t="s">
        <v>13</v>
      </c>
      <c r="N177" s="12">
        <v>46318</v>
      </c>
      <c r="O177" s="10"/>
      <c r="P177" s="11"/>
    </row>
    <row r="178" spans="1:16" ht="48.75" customHeight="1" x14ac:dyDescent="0.35">
      <c r="A178" s="10">
        <v>177</v>
      </c>
      <c r="B178" s="10" t="s">
        <v>817</v>
      </c>
      <c r="C178" s="11" t="s">
        <v>22</v>
      </c>
      <c r="D178" s="11" t="s">
        <v>694</v>
      </c>
      <c r="E178" s="11" t="s">
        <v>818</v>
      </c>
      <c r="F178" s="10" t="s">
        <v>57</v>
      </c>
      <c r="G178" s="10" t="s">
        <v>49</v>
      </c>
      <c r="H178" s="11" t="s">
        <v>764</v>
      </c>
      <c r="I178" s="11" t="s">
        <v>819</v>
      </c>
      <c r="J178" s="11" t="s">
        <v>60</v>
      </c>
      <c r="K178" s="11" t="s">
        <v>820</v>
      </c>
      <c r="L178" s="11" t="s">
        <v>53</v>
      </c>
      <c r="M178" s="10" t="s">
        <v>13</v>
      </c>
      <c r="N178" s="12">
        <v>46318</v>
      </c>
      <c r="O178" s="10"/>
      <c r="P178" s="11"/>
    </row>
    <row r="179" spans="1:16" ht="48.75" customHeight="1" x14ac:dyDescent="0.35">
      <c r="A179" s="10">
        <v>178</v>
      </c>
      <c r="B179" s="10" t="s">
        <v>821</v>
      </c>
      <c r="C179" s="11" t="s">
        <v>22</v>
      </c>
      <c r="D179" s="11" t="s">
        <v>694</v>
      </c>
      <c r="E179" s="11" t="s">
        <v>822</v>
      </c>
      <c r="F179" s="10" t="s">
        <v>57</v>
      </c>
      <c r="G179" s="10" t="s">
        <v>49</v>
      </c>
      <c r="H179" s="11" t="s">
        <v>764</v>
      </c>
      <c r="I179" s="11" t="s">
        <v>823</v>
      </c>
      <c r="J179" s="11" t="s">
        <v>60</v>
      </c>
      <c r="K179" s="11" t="s">
        <v>824</v>
      </c>
      <c r="L179" s="11" t="s">
        <v>53</v>
      </c>
      <c r="M179" s="10" t="s">
        <v>13</v>
      </c>
      <c r="N179" s="12">
        <v>46318</v>
      </c>
      <c r="O179" s="10"/>
      <c r="P179" s="11"/>
    </row>
    <row r="180" spans="1:16" ht="48.75" customHeight="1" x14ac:dyDescent="0.35">
      <c r="A180" s="10">
        <v>179</v>
      </c>
      <c r="B180" s="10" t="s">
        <v>825</v>
      </c>
      <c r="C180" s="11" t="s">
        <v>22</v>
      </c>
      <c r="D180" s="11" t="s">
        <v>694</v>
      </c>
      <c r="E180" s="11" t="s">
        <v>826</v>
      </c>
      <c r="F180" s="10" t="s">
        <v>57</v>
      </c>
      <c r="G180" s="10" t="s">
        <v>49</v>
      </c>
      <c r="H180" s="11" t="s">
        <v>764</v>
      </c>
      <c r="I180" s="11" t="s">
        <v>827</v>
      </c>
      <c r="J180" s="11" t="s">
        <v>60</v>
      </c>
      <c r="K180" s="11" t="s">
        <v>828</v>
      </c>
      <c r="L180" s="11" t="s">
        <v>53</v>
      </c>
      <c r="M180" s="10" t="s">
        <v>13</v>
      </c>
      <c r="N180" s="12">
        <v>46318</v>
      </c>
      <c r="O180" s="10"/>
      <c r="P180" s="11"/>
    </row>
    <row r="181" spans="1:16" ht="48.75" customHeight="1" x14ac:dyDescent="0.35">
      <c r="A181" s="10">
        <v>180</v>
      </c>
      <c r="B181" s="10" t="s">
        <v>829</v>
      </c>
      <c r="C181" s="11" t="s">
        <v>22</v>
      </c>
      <c r="D181" s="11" t="s">
        <v>694</v>
      </c>
      <c r="E181" s="11" t="s">
        <v>830</v>
      </c>
      <c r="F181" s="10" t="s">
        <v>57</v>
      </c>
      <c r="G181" s="10" t="s">
        <v>49</v>
      </c>
      <c r="H181" s="11" t="s">
        <v>764</v>
      </c>
      <c r="I181" s="11" t="s">
        <v>831</v>
      </c>
      <c r="J181" s="11" t="s">
        <v>60</v>
      </c>
      <c r="K181" s="11" t="s">
        <v>832</v>
      </c>
      <c r="L181" s="11" t="s">
        <v>53</v>
      </c>
      <c r="M181" s="10" t="s">
        <v>13</v>
      </c>
      <c r="N181" s="12">
        <v>46318</v>
      </c>
      <c r="O181" s="10"/>
      <c r="P181" s="11"/>
    </row>
    <row r="182" spans="1:16" ht="48.75" customHeight="1" x14ac:dyDescent="0.35">
      <c r="A182" s="10">
        <v>181</v>
      </c>
      <c r="B182" s="10" t="s">
        <v>833</v>
      </c>
      <c r="C182" s="11" t="s">
        <v>22</v>
      </c>
      <c r="D182" s="11" t="s">
        <v>694</v>
      </c>
      <c r="E182" s="11" t="s">
        <v>834</v>
      </c>
      <c r="F182" s="10" t="s">
        <v>57</v>
      </c>
      <c r="G182" s="10" t="s">
        <v>76</v>
      </c>
      <c r="H182" s="11" t="s">
        <v>764</v>
      </c>
      <c r="I182" s="11" t="s">
        <v>835</v>
      </c>
      <c r="J182" s="11" t="s">
        <v>836</v>
      </c>
      <c r="K182" s="11" t="s">
        <v>837</v>
      </c>
      <c r="L182" s="11" t="s">
        <v>53</v>
      </c>
      <c r="M182" s="10" t="s">
        <v>13</v>
      </c>
      <c r="N182" s="12">
        <v>46318</v>
      </c>
      <c r="O182" s="10"/>
      <c r="P182" s="11"/>
    </row>
    <row r="183" spans="1:16" ht="48.75" customHeight="1" x14ac:dyDescent="0.35">
      <c r="A183" s="10">
        <v>182</v>
      </c>
      <c r="B183" s="10" t="s">
        <v>838</v>
      </c>
      <c r="C183" s="11" t="s">
        <v>22</v>
      </c>
      <c r="D183" s="11" t="s">
        <v>694</v>
      </c>
      <c r="E183" s="11" t="s">
        <v>839</v>
      </c>
      <c r="F183" s="10" t="s">
        <v>57</v>
      </c>
      <c r="G183" s="10" t="s">
        <v>49</v>
      </c>
      <c r="H183" s="11" t="s">
        <v>840</v>
      </c>
      <c r="I183" s="11" t="s">
        <v>841</v>
      </c>
      <c r="J183" s="11" t="s">
        <v>60</v>
      </c>
      <c r="K183" s="11" t="s">
        <v>842</v>
      </c>
      <c r="L183" s="11" t="s">
        <v>53</v>
      </c>
      <c r="M183" s="10" t="s">
        <v>13</v>
      </c>
      <c r="N183" s="12">
        <v>46318</v>
      </c>
      <c r="O183" s="10"/>
      <c r="P183" s="11"/>
    </row>
    <row r="184" spans="1:16" ht="48.75" customHeight="1" x14ac:dyDescent="0.35">
      <c r="A184" s="10">
        <v>183</v>
      </c>
      <c r="B184" s="10" t="s">
        <v>843</v>
      </c>
      <c r="C184" s="11" t="s">
        <v>22</v>
      </c>
      <c r="D184" s="11" t="s">
        <v>694</v>
      </c>
      <c r="E184" s="11" t="s">
        <v>844</v>
      </c>
      <c r="F184" s="10" t="s">
        <v>57</v>
      </c>
      <c r="G184" s="10" t="s">
        <v>49</v>
      </c>
      <c r="H184" s="11" t="s">
        <v>764</v>
      </c>
      <c r="I184" s="11" t="s">
        <v>845</v>
      </c>
      <c r="J184" s="11" t="s">
        <v>60</v>
      </c>
      <c r="K184" s="11" t="s">
        <v>846</v>
      </c>
      <c r="L184" s="11" t="s">
        <v>53</v>
      </c>
      <c r="M184" s="10" t="s">
        <v>13</v>
      </c>
      <c r="N184" s="12">
        <v>46318</v>
      </c>
      <c r="O184" s="10"/>
      <c r="P184" s="11"/>
    </row>
    <row r="185" spans="1:16" ht="48.75" customHeight="1" x14ac:dyDescent="0.35">
      <c r="A185" s="10">
        <v>184</v>
      </c>
      <c r="B185" s="10" t="s">
        <v>847</v>
      </c>
      <c r="C185" s="11" t="s">
        <v>22</v>
      </c>
      <c r="D185" s="11" t="s">
        <v>694</v>
      </c>
      <c r="E185" s="11" t="s">
        <v>848</v>
      </c>
      <c r="F185" s="10" t="s">
        <v>57</v>
      </c>
      <c r="G185" s="10" t="s">
        <v>76</v>
      </c>
      <c r="H185" s="11" t="s">
        <v>849</v>
      </c>
      <c r="I185" s="11" t="s">
        <v>850</v>
      </c>
      <c r="J185" s="11" t="s">
        <v>60</v>
      </c>
      <c r="K185" s="11" t="s">
        <v>851</v>
      </c>
      <c r="L185" s="11" t="s">
        <v>53</v>
      </c>
      <c r="M185" s="10" t="s">
        <v>13</v>
      </c>
      <c r="N185" s="12">
        <v>46318</v>
      </c>
      <c r="O185" s="10"/>
      <c r="P185" s="11"/>
    </row>
    <row r="186" spans="1:16" ht="63.75" customHeight="1" x14ac:dyDescent="0.35">
      <c r="A186" s="10">
        <v>185</v>
      </c>
      <c r="B186" s="10" t="s">
        <v>852</v>
      </c>
      <c r="C186" s="11" t="s">
        <v>22</v>
      </c>
      <c r="D186" s="11" t="s">
        <v>853</v>
      </c>
      <c r="E186" s="11" t="s">
        <v>854</v>
      </c>
      <c r="F186" s="10" t="s">
        <v>48</v>
      </c>
      <c r="G186" s="10" t="s">
        <v>76</v>
      </c>
      <c r="H186" s="11" t="s">
        <v>561</v>
      </c>
      <c r="I186" s="11" t="s">
        <v>855</v>
      </c>
      <c r="J186" s="11" t="s">
        <v>60</v>
      </c>
      <c r="K186" s="11" t="s">
        <v>856</v>
      </c>
      <c r="L186" s="11" t="s">
        <v>53</v>
      </c>
      <c r="M186" s="10" t="s">
        <v>13</v>
      </c>
      <c r="N186" s="12">
        <v>46316</v>
      </c>
      <c r="O186" s="10"/>
      <c r="P186" s="11"/>
    </row>
    <row r="187" spans="1:16" ht="123.75" customHeight="1" x14ac:dyDescent="0.35">
      <c r="A187" s="10">
        <v>186</v>
      </c>
      <c r="B187" s="10" t="s">
        <v>857</v>
      </c>
      <c r="C187" s="11" t="s">
        <v>22</v>
      </c>
      <c r="D187" s="11" t="s">
        <v>853</v>
      </c>
      <c r="E187" s="11" t="s">
        <v>858</v>
      </c>
      <c r="F187" s="10" t="s">
        <v>48</v>
      </c>
      <c r="G187" s="10" t="s">
        <v>49</v>
      </c>
      <c r="H187" s="11" t="s">
        <v>859</v>
      </c>
      <c r="I187" s="11" t="s">
        <v>860</v>
      </c>
      <c r="J187" s="11" t="s">
        <v>861</v>
      </c>
      <c r="K187" s="11" t="s">
        <v>862</v>
      </c>
      <c r="L187" s="11" t="s">
        <v>53</v>
      </c>
      <c r="M187" s="10" t="s">
        <v>13</v>
      </c>
      <c r="N187" s="12">
        <v>46316</v>
      </c>
      <c r="O187" s="10"/>
      <c r="P187" s="11"/>
    </row>
    <row r="188" spans="1:16" ht="33.75" customHeight="1" x14ac:dyDescent="0.35">
      <c r="A188" s="10">
        <v>187</v>
      </c>
      <c r="B188" s="10" t="s">
        <v>863</v>
      </c>
      <c r="C188" s="11" t="s">
        <v>22</v>
      </c>
      <c r="D188" s="11" t="s">
        <v>853</v>
      </c>
      <c r="E188" s="11" t="s">
        <v>864</v>
      </c>
      <c r="F188" s="10" t="s">
        <v>48</v>
      </c>
      <c r="G188" s="10" t="s">
        <v>76</v>
      </c>
      <c r="H188" s="11" t="s">
        <v>865</v>
      </c>
      <c r="I188" s="11" t="s">
        <v>866</v>
      </c>
      <c r="J188" s="11" t="s">
        <v>60</v>
      </c>
      <c r="K188" s="11" t="s">
        <v>867</v>
      </c>
      <c r="L188" s="11" t="s">
        <v>53</v>
      </c>
      <c r="M188" s="10" t="s">
        <v>13</v>
      </c>
      <c r="N188" s="12">
        <v>46316</v>
      </c>
      <c r="O188" s="10"/>
      <c r="P188" s="11"/>
    </row>
    <row r="189" spans="1:16" ht="48.75" customHeight="1" x14ac:dyDescent="0.35">
      <c r="A189" s="10">
        <v>188</v>
      </c>
      <c r="B189" s="10" t="s">
        <v>868</v>
      </c>
      <c r="C189" s="11" t="s">
        <v>22</v>
      </c>
      <c r="D189" s="11" t="s">
        <v>853</v>
      </c>
      <c r="E189" s="11" t="s">
        <v>869</v>
      </c>
      <c r="F189" s="10" t="s">
        <v>48</v>
      </c>
      <c r="G189" s="10" t="s">
        <v>288</v>
      </c>
      <c r="H189" s="11" t="s">
        <v>865</v>
      </c>
      <c r="I189" s="11" t="s">
        <v>870</v>
      </c>
      <c r="J189" s="11" t="s">
        <v>60</v>
      </c>
      <c r="K189" s="11" t="s">
        <v>871</v>
      </c>
      <c r="L189" s="11" t="s">
        <v>53</v>
      </c>
      <c r="M189" s="10" t="s">
        <v>13</v>
      </c>
      <c r="N189" s="12">
        <v>46316</v>
      </c>
      <c r="O189" s="10"/>
      <c r="P189" s="11"/>
    </row>
    <row r="190" spans="1:16" ht="33.75" customHeight="1" x14ac:dyDescent="0.35">
      <c r="A190" s="10">
        <v>189</v>
      </c>
      <c r="B190" s="10" t="s">
        <v>872</v>
      </c>
      <c r="C190" s="11" t="s">
        <v>22</v>
      </c>
      <c r="D190" s="11" t="s">
        <v>853</v>
      </c>
      <c r="E190" s="11" t="s">
        <v>873</v>
      </c>
      <c r="F190" s="10" t="s">
        <v>48</v>
      </c>
      <c r="G190" s="10" t="s">
        <v>76</v>
      </c>
      <c r="H190" s="11" t="s">
        <v>580</v>
      </c>
      <c r="I190" s="11" t="s">
        <v>874</v>
      </c>
      <c r="J190" s="11" t="s">
        <v>875</v>
      </c>
      <c r="K190" s="11" t="s">
        <v>876</v>
      </c>
      <c r="L190" s="11" t="s">
        <v>53</v>
      </c>
      <c r="M190" s="10" t="s">
        <v>13</v>
      </c>
      <c r="N190" s="12">
        <v>46316</v>
      </c>
      <c r="O190" s="10"/>
      <c r="P190" s="11"/>
    </row>
    <row r="191" spans="1:16" ht="63.75" customHeight="1" x14ac:dyDescent="0.35">
      <c r="A191" s="10">
        <v>190</v>
      </c>
      <c r="B191" s="10" t="s">
        <v>877</v>
      </c>
      <c r="C191" s="11" t="s">
        <v>22</v>
      </c>
      <c r="D191" s="11" t="s">
        <v>853</v>
      </c>
      <c r="E191" s="11" t="s">
        <v>878</v>
      </c>
      <c r="F191" s="10" t="s">
        <v>48</v>
      </c>
      <c r="G191" s="10" t="s">
        <v>76</v>
      </c>
      <c r="H191" s="11" t="s">
        <v>580</v>
      </c>
      <c r="I191" s="11" t="s">
        <v>879</v>
      </c>
      <c r="J191" s="11" t="s">
        <v>880</v>
      </c>
      <c r="K191" s="11" t="s">
        <v>881</v>
      </c>
      <c r="L191" s="11" t="s">
        <v>53</v>
      </c>
      <c r="M191" s="10" t="s">
        <v>13</v>
      </c>
      <c r="N191" s="12">
        <v>46316</v>
      </c>
      <c r="O191" s="10"/>
      <c r="P191" s="11"/>
    </row>
    <row r="192" spans="1:16" ht="33.75" customHeight="1" x14ac:dyDescent="0.35">
      <c r="A192" s="10">
        <v>191</v>
      </c>
      <c r="B192" s="10" t="s">
        <v>882</v>
      </c>
      <c r="C192" s="11" t="s">
        <v>22</v>
      </c>
      <c r="D192" s="11" t="s">
        <v>853</v>
      </c>
      <c r="E192" s="11" t="s">
        <v>883</v>
      </c>
      <c r="F192" s="10" t="s">
        <v>48</v>
      </c>
      <c r="G192" s="10" t="s">
        <v>76</v>
      </c>
      <c r="H192" s="11" t="s">
        <v>580</v>
      </c>
      <c r="I192" s="11" t="s">
        <v>884</v>
      </c>
      <c r="J192" s="11" t="s">
        <v>60</v>
      </c>
      <c r="K192" s="11" t="s">
        <v>885</v>
      </c>
      <c r="L192" s="11" t="s">
        <v>53</v>
      </c>
      <c r="M192" s="10" t="s">
        <v>13</v>
      </c>
      <c r="N192" s="12">
        <v>46316</v>
      </c>
      <c r="O192" s="10"/>
      <c r="P192" s="11"/>
    </row>
    <row r="193" spans="1:16" ht="33.75" customHeight="1" x14ac:dyDescent="0.35">
      <c r="A193" s="10">
        <v>192</v>
      </c>
      <c r="B193" s="10" t="s">
        <v>886</v>
      </c>
      <c r="C193" s="11" t="s">
        <v>22</v>
      </c>
      <c r="D193" s="11" t="s">
        <v>853</v>
      </c>
      <c r="E193" s="11" t="s">
        <v>887</v>
      </c>
      <c r="F193" s="10" t="s">
        <v>48</v>
      </c>
      <c r="G193" s="10" t="s">
        <v>76</v>
      </c>
      <c r="H193" s="11" t="s">
        <v>580</v>
      </c>
      <c r="I193" s="11" t="s">
        <v>888</v>
      </c>
      <c r="J193" s="11" t="s">
        <v>60</v>
      </c>
      <c r="K193" s="11" t="s">
        <v>885</v>
      </c>
      <c r="L193" s="11" t="s">
        <v>53</v>
      </c>
      <c r="M193" s="10" t="s">
        <v>13</v>
      </c>
      <c r="N193" s="12">
        <v>46316</v>
      </c>
      <c r="O193" s="10"/>
      <c r="P193" s="11"/>
    </row>
    <row r="194" spans="1:16" ht="48.75" customHeight="1" x14ac:dyDescent="0.35">
      <c r="A194" s="10">
        <v>193</v>
      </c>
      <c r="B194" s="10" t="s">
        <v>889</v>
      </c>
      <c r="C194" s="11" t="s">
        <v>22</v>
      </c>
      <c r="D194" s="11" t="s">
        <v>853</v>
      </c>
      <c r="E194" s="11" t="s">
        <v>890</v>
      </c>
      <c r="F194" s="10" t="s">
        <v>48</v>
      </c>
      <c r="G194" s="10" t="s">
        <v>288</v>
      </c>
      <c r="H194" s="11" t="s">
        <v>580</v>
      </c>
      <c r="I194" s="11" t="s">
        <v>891</v>
      </c>
      <c r="J194" s="11" t="s">
        <v>892</v>
      </c>
      <c r="K194" s="11" t="s">
        <v>893</v>
      </c>
      <c r="L194" s="11" t="s">
        <v>53</v>
      </c>
      <c r="M194" s="10" t="s">
        <v>13</v>
      </c>
      <c r="N194" s="12">
        <v>46316</v>
      </c>
      <c r="O194" s="10"/>
      <c r="P194" s="11"/>
    </row>
    <row r="195" spans="1:16" ht="48.75" customHeight="1" x14ac:dyDescent="0.35">
      <c r="A195" s="10">
        <v>194</v>
      </c>
      <c r="B195" s="10" t="s">
        <v>894</v>
      </c>
      <c r="C195" s="11" t="s">
        <v>22</v>
      </c>
      <c r="D195" s="11" t="s">
        <v>853</v>
      </c>
      <c r="E195" s="11" t="s">
        <v>895</v>
      </c>
      <c r="F195" s="10" t="s">
        <v>48</v>
      </c>
      <c r="G195" s="10" t="s">
        <v>76</v>
      </c>
      <c r="H195" s="11" t="s">
        <v>580</v>
      </c>
      <c r="I195" s="11" t="s">
        <v>896</v>
      </c>
      <c r="J195" s="11" t="s">
        <v>897</v>
      </c>
      <c r="K195" s="11" t="s">
        <v>898</v>
      </c>
      <c r="L195" s="11" t="s">
        <v>53</v>
      </c>
      <c r="M195" s="10" t="s">
        <v>13</v>
      </c>
      <c r="N195" s="12">
        <v>46316</v>
      </c>
      <c r="O195" s="10"/>
      <c r="P195" s="11"/>
    </row>
    <row r="196" spans="1:16" ht="63.75" customHeight="1" x14ac:dyDescent="0.35">
      <c r="A196" s="10">
        <v>195</v>
      </c>
      <c r="B196" s="10" t="s">
        <v>899</v>
      </c>
      <c r="C196" s="11" t="s">
        <v>22</v>
      </c>
      <c r="D196" s="11" t="s">
        <v>853</v>
      </c>
      <c r="E196" s="11" t="s">
        <v>900</v>
      </c>
      <c r="F196" s="10" t="s">
        <v>48</v>
      </c>
      <c r="G196" s="10" t="s">
        <v>76</v>
      </c>
      <c r="H196" s="11" t="s">
        <v>580</v>
      </c>
      <c r="I196" s="11" t="s">
        <v>901</v>
      </c>
      <c r="J196" s="11" t="s">
        <v>60</v>
      </c>
      <c r="K196" s="11" t="s">
        <v>588</v>
      </c>
      <c r="L196" s="11" t="s">
        <v>53</v>
      </c>
      <c r="M196" s="10" t="s">
        <v>13</v>
      </c>
      <c r="N196" s="12">
        <v>46316</v>
      </c>
      <c r="O196" s="10"/>
      <c r="P196" s="11"/>
    </row>
    <row r="197" spans="1:16" ht="48.75" customHeight="1" x14ac:dyDescent="0.35">
      <c r="A197" s="10">
        <v>196</v>
      </c>
      <c r="B197" s="10" t="s">
        <v>902</v>
      </c>
      <c r="C197" s="11" t="s">
        <v>22</v>
      </c>
      <c r="D197" s="11" t="s">
        <v>853</v>
      </c>
      <c r="E197" s="11" t="s">
        <v>903</v>
      </c>
      <c r="F197" s="10" t="s">
        <v>48</v>
      </c>
      <c r="G197" s="10" t="s">
        <v>49</v>
      </c>
      <c r="H197" s="11" t="s">
        <v>904</v>
      </c>
      <c r="I197" s="11" t="s">
        <v>905</v>
      </c>
      <c r="J197" s="11" t="s">
        <v>60</v>
      </c>
      <c r="K197" s="11" t="s">
        <v>906</v>
      </c>
      <c r="L197" s="11" t="s">
        <v>53</v>
      </c>
      <c r="M197" s="10" t="s">
        <v>13</v>
      </c>
      <c r="N197" s="12">
        <v>46316</v>
      </c>
      <c r="O197" s="10"/>
      <c r="P197" s="11"/>
    </row>
    <row r="198" spans="1:16" ht="33.75" customHeight="1" x14ac:dyDescent="0.35">
      <c r="A198" s="10">
        <v>197</v>
      </c>
      <c r="B198" s="10" t="s">
        <v>907</v>
      </c>
      <c r="C198" s="11" t="s">
        <v>22</v>
      </c>
      <c r="D198" s="11" t="s">
        <v>853</v>
      </c>
      <c r="E198" s="11" t="s">
        <v>908</v>
      </c>
      <c r="F198" s="10" t="s">
        <v>48</v>
      </c>
      <c r="G198" s="10" t="s">
        <v>76</v>
      </c>
      <c r="H198" s="11" t="s">
        <v>904</v>
      </c>
      <c r="I198" s="11" t="s">
        <v>909</v>
      </c>
      <c r="J198" s="11" t="s">
        <v>60</v>
      </c>
      <c r="K198" s="11" t="s">
        <v>910</v>
      </c>
      <c r="L198" s="11" t="s">
        <v>53</v>
      </c>
      <c r="M198" s="10" t="s">
        <v>13</v>
      </c>
      <c r="N198" s="12">
        <v>46316</v>
      </c>
      <c r="O198" s="10"/>
      <c r="P198" s="11"/>
    </row>
    <row r="199" spans="1:16" ht="48.75" customHeight="1" x14ac:dyDescent="0.35">
      <c r="A199" s="10">
        <v>198</v>
      </c>
      <c r="B199" s="10" t="s">
        <v>911</v>
      </c>
      <c r="C199" s="11" t="s">
        <v>22</v>
      </c>
      <c r="D199" s="11" t="s">
        <v>853</v>
      </c>
      <c r="E199" s="11" t="s">
        <v>912</v>
      </c>
      <c r="F199" s="10" t="s">
        <v>48</v>
      </c>
      <c r="G199" s="10" t="s">
        <v>76</v>
      </c>
      <c r="H199" s="11" t="s">
        <v>913</v>
      </c>
      <c r="I199" s="11" t="s">
        <v>914</v>
      </c>
      <c r="J199" s="11" t="s">
        <v>60</v>
      </c>
      <c r="K199" s="11" t="s">
        <v>915</v>
      </c>
      <c r="L199" s="11" t="s">
        <v>53</v>
      </c>
      <c r="M199" s="10" t="s">
        <v>13</v>
      </c>
      <c r="N199" s="12">
        <v>46316</v>
      </c>
      <c r="O199" s="10"/>
      <c r="P199" s="11"/>
    </row>
    <row r="200" spans="1:16" ht="33.75" customHeight="1" x14ac:dyDescent="0.35">
      <c r="A200" s="10">
        <v>199</v>
      </c>
      <c r="B200" s="10" t="s">
        <v>916</v>
      </c>
      <c r="C200" s="11" t="s">
        <v>22</v>
      </c>
      <c r="D200" s="11" t="s">
        <v>853</v>
      </c>
      <c r="E200" s="11" t="s">
        <v>917</v>
      </c>
      <c r="F200" s="10" t="s">
        <v>48</v>
      </c>
      <c r="G200" s="10" t="s">
        <v>76</v>
      </c>
      <c r="H200" s="11" t="s">
        <v>580</v>
      </c>
      <c r="I200" s="11" t="s">
        <v>356</v>
      </c>
      <c r="J200" s="11" t="s">
        <v>60</v>
      </c>
      <c r="K200" s="11" t="s">
        <v>918</v>
      </c>
      <c r="L200" s="11" t="s">
        <v>53</v>
      </c>
      <c r="M200" s="10" t="s">
        <v>13</v>
      </c>
      <c r="N200" s="12">
        <v>46316</v>
      </c>
      <c r="O200" s="10"/>
      <c r="P200" s="11"/>
    </row>
    <row r="201" spans="1:16" ht="48.75" customHeight="1" x14ac:dyDescent="0.35">
      <c r="A201" s="10">
        <v>200</v>
      </c>
      <c r="B201" s="10" t="s">
        <v>919</v>
      </c>
      <c r="C201" s="11" t="s">
        <v>22</v>
      </c>
      <c r="D201" s="11" t="s">
        <v>853</v>
      </c>
      <c r="E201" s="11" t="s">
        <v>920</v>
      </c>
      <c r="F201" s="10" t="s">
        <v>57</v>
      </c>
      <c r="G201" s="10" t="s">
        <v>49</v>
      </c>
      <c r="H201" s="11" t="s">
        <v>580</v>
      </c>
      <c r="I201" s="11" t="s">
        <v>921</v>
      </c>
      <c r="J201" s="11" t="s">
        <v>60</v>
      </c>
      <c r="K201" s="11" t="s">
        <v>369</v>
      </c>
      <c r="L201" s="11" t="s">
        <v>53</v>
      </c>
      <c r="M201" s="10" t="s">
        <v>13</v>
      </c>
      <c r="N201" s="12">
        <v>46316</v>
      </c>
      <c r="O201" s="10"/>
      <c r="P201" s="11"/>
    </row>
    <row r="202" spans="1:16" ht="33.75" customHeight="1" x14ac:dyDescent="0.35">
      <c r="A202" s="10">
        <v>201</v>
      </c>
      <c r="B202" s="10" t="s">
        <v>922</v>
      </c>
      <c r="C202" s="11" t="s">
        <v>22</v>
      </c>
      <c r="D202" s="11" t="s">
        <v>853</v>
      </c>
      <c r="E202" s="11" t="s">
        <v>923</v>
      </c>
      <c r="F202" s="10" t="s">
        <v>57</v>
      </c>
      <c r="G202" s="10" t="s">
        <v>49</v>
      </c>
      <c r="H202" s="11" t="s">
        <v>580</v>
      </c>
      <c r="I202" s="11" t="s">
        <v>924</v>
      </c>
      <c r="J202" s="11" t="s">
        <v>60</v>
      </c>
      <c r="K202" s="11" t="s">
        <v>816</v>
      </c>
      <c r="L202" s="11" t="s">
        <v>53</v>
      </c>
      <c r="M202" s="10" t="s">
        <v>13</v>
      </c>
      <c r="N202" s="12">
        <v>46316</v>
      </c>
      <c r="O202" s="10"/>
      <c r="P202" s="11"/>
    </row>
    <row r="203" spans="1:16" ht="48.75" customHeight="1" x14ac:dyDescent="0.35">
      <c r="A203" s="10">
        <v>202</v>
      </c>
      <c r="B203" s="10" t="s">
        <v>925</v>
      </c>
      <c r="C203" s="11" t="s">
        <v>22</v>
      </c>
      <c r="D203" s="11" t="s">
        <v>853</v>
      </c>
      <c r="E203" s="11" t="s">
        <v>926</v>
      </c>
      <c r="F203" s="10" t="s">
        <v>57</v>
      </c>
      <c r="G203" s="10" t="s">
        <v>49</v>
      </c>
      <c r="H203" s="11" t="s">
        <v>580</v>
      </c>
      <c r="I203" s="11" t="s">
        <v>927</v>
      </c>
      <c r="J203" s="11" t="s">
        <v>60</v>
      </c>
      <c r="K203" s="11" t="s">
        <v>820</v>
      </c>
      <c r="L203" s="11" t="s">
        <v>53</v>
      </c>
      <c r="M203" s="10" t="s">
        <v>13</v>
      </c>
      <c r="N203" s="12">
        <v>46316</v>
      </c>
      <c r="O203" s="10"/>
      <c r="P203" s="11"/>
    </row>
    <row r="204" spans="1:16" ht="48.75" customHeight="1" x14ac:dyDescent="0.35">
      <c r="A204" s="10">
        <v>203</v>
      </c>
      <c r="B204" s="10" t="s">
        <v>928</v>
      </c>
      <c r="C204" s="11" t="s">
        <v>22</v>
      </c>
      <c r="D204" s="11" t="s">
        <v>853</v>
      </c>
      <c r="E204" s="11" t="s">
        <v>929</v>
      </c>
      <c r="F204" s="10" t="s">
        <v>57</v>
      </c>
      <c r="G204" s="10" t="s">
        <v>49</v>
      </c>
      <c r="H204" s="11" t="s">
        <v>580</v>
      </c>
      <c r="I204" s="11" t="s">
        <v>930</v>
      </c>
      <c r="J204" s="11" t="s">
        <v>60</v>
      </c>
      <c r="K204" s="11" t="s">
        <v>824</v>
      </c>
      <c r="L204" s="11" t="s">
        <v>53</v>
      </c>
      <c r="M204" s="10" t="s">
        <v>13</v>
      </c>
      <c r="N204" s="12">
        <v>46316</v>
      </c>
      <c r="O204" s="10"/>
      <c r="P204" s="11"/>
    </row>
    <row r="205" spans="1:16" ht="48.75" customHeight="1" x14ac:dyDescent="0.35">
      <c r="A205" s="10">
        <v>204</v>
      </c>
      <c r="B205" s="10" t="s">
        <v>931</v>
      </c>
      <c r="C205" s="11" t="s">
        <v>22</v>
      </c>
      <c r="D205" s="11" t="s">
        <v>853</v>
      </c>
      <c r="E205" s="11" t="s">
        <v>932</v>
      </c>
      <c r="F205" s="10" t="s">
        <v>57</v>
      </c>
      <c r="G205" s="10" t="s">
        <v>49</v>
      </c>
      <c r="H205" s="11" t="s">
        <v>580</v>
      </c>
      <c r="I205" s="11" t="s">
        <v>933</v>
      </c>
      <c r="J205" s="11" t="s">
        <v>60</v>
      </c>
      <c r="K205" s="11" t="s">
        <v>828</v>
      </c>
      <c r="L205" s="11" t="s">
        <v>53</v>
      </c>
      <c r="M205" s="10" t="s">
        <v>13</v>
      </c>
      <c r="N205" s="12">
        <v>46316</v>
      </c>
      <c r="O205" s="10"/>
      <c r="P205" s="11"/>
    </row>
    <row r="206" spans="1:16" ht="48.75" customHeight="1" x14ac:dyDescent="0.35">
      <c r="A206" s="10">
        <v>205</v>
      </c>
      <c r="B206" s="10" t="s">
        <v>934</v>
      </c>
      <c r="C206" s="11" t="s">
        <v>22</v>
      </c>
      <c r="D206" s="11" t="s">
        <v>853</v>
      </c>
      <c r="E206" s="11" t="s">
        <v>935</v>
      </c>
      <c r="F206" s="10" t="s">
        <v>57</v>
      </c>
      <c r="G206" s="10" t="s">
        <v>49</v>
      </c>
      <c r="H206" s="11" t="s">
        <v>580</v>
      </c>
      <c r="I206" s="11" t="s">
        <v>936</v>
      </c>
      <c r="J206" s="11" t="s">
        <v>60</v>
      </c>
      <c r="K206" s="11" t="s">
        <v>832</v>
      </c>
      <c r="L206" s="11" t="s">
        <v>53</v>
      </c>
      <c r="M206" s="10" t="s">
        <v>13</v>
      </c>
      <c r="N206" s="12">
        <v>46316</v>
      </c>
      <c r="O206" s="10"/>
      <c r="P206" s="11"/>
    </row>
    <row r="207" spans="1:16" ht="33.75" customHeight="1" x14ac:dyDescent="0.35">
      <c r="A207" s="10">
        <v>206</v>
      </c>
      <c r="B207" s="10" t="s">
        <v>937</v>
      </c>
      <c r="C207" s="11" t="s">
        <v>22</v>
      </c>
      <c r="D207" s="11" t="s">
        <v>853</v>
      </c>
      <c r="E207" s="11" t="s">
        <v>938</v>
      </c>
      <c r="F207" s="10" t="s">
        <v>57</v>
      </c>
      <c r="G207" s="10" t="s">
        <v>49</v>
      </c>
      <c r="H207" s="11" t="s">
        <v>580</v>
      </c>
      <c r="I207" s="11" t="s">
        <v>380</v>
      </c>
      <c r="J207" s="11" t="s">
        <v>60</v>
      </c>
      <c r="K207" s="11" t="s">
        <v>939</v>
      </c>
      <c r="L207" s="11" t="s">
        <v>53</v>
      </c>
      <c r="M207" s="10" t="s">
        <v>13</v>
      </c>
      <c r="N207" s="12">
        <v>46316</v>
      </c>
      <c r="O207" s="10"/>
      <c r="P207" s="11"/>
    </row>
    <row r="208" spans="1:16" ht="48.75" customHeight="1" x14ac:dyDescent="0.35">
      <c r="A208" s="10">
        <v>207</v>
      </c>
      <c r="B208" s="10" t="s">
        <v>940</v>
      </c>
      <c r="C208" s="11" t="s">
        <v>22</v>
      </c>
      <c r="D208" s="11" t="s">
        <v>853</v>
      </c>
      <c r="E208" s="11" t="s">
        <v>941</v>
      </c>
      <c r="F208" s="10" t="s">
        <v>57</v>
      </c>
      <c r="G208" s="10" t="s">
        <v>76</v>
      </c>
      <c r="H208" s="11" t="s">
        <v>580</v>
      </c>
      <c r="I208" s="11" t="s">
        <v>942</v>
      </c>
      <c r="J208" s="11" t="s">
        <v>943</v>
      </c>
      <c r="K208" s="11" t="s">
        <v>944</v>
      </c>
      <c r="L208" s="11" t="s">
        <v>945</v>
      </c>
      <c r="M208" s="10" t="s">
        <v>14</v>
      </c>
      <c r="N208" s="12">
        <v>46316</v>
      </c>
      <c r="O208" s="10" t="s">
        <v>946</v>
      </c>
      <c r="P208" s="11"/>
    </row>
    <row r="209" spans="1:16" ht="48.75" customHeight="1" x14ac:dyDescent="0.35">
      <c r="A209" s="10">
        <v>208</v>
      </c>
      <c r="B209" s="10" t="s">
        <v>947</v>
      </c>
      <c r="C209" s="11" t="s">
        <v>22</v>
      </c>
      <c r="D209" s="11" t="s">
        <v>853</v>
      </c>
      <c r="E209" s="11" t="s">
        <v>948</v>
      </c>
      <c r="F209" s="10" t="s">
        <v>57</v>
      </c>
      <c r="G209" s="10" t="s">
        <v>76</v>
      </c>
      <c r="H209" s="11" t="s">
        <v>580</v>
      </c>
      <c r="I209" s="11" t="s">
        <v>949</v>
      </c>
      <c r="J209" s="11" t="s">
        <v>950</v>
      </c>
      <c r="K209" s="11" t="s">
        <v>837</v>
      </c>
      <c r="L209" s="11" t="s">
        <v>945</v>
      </c>
      <c r="M209" s="10" t="s">
        <v>14</v>
      </c>
      <c r="N209" s="12">
        <v>46316</v>
      </c>
      <c r="O209" s="10" t="s">
        <v>951</v>
      </c>
      <c r="P209" s="11"/>
    </row>
    <row r="210" spans="1:16" ht="48.75" customHeight="1" x14ac:dyDescent="0.35">
      <c r="A210" s="10">
        <v>209</v>
      </c>
      <c r="B210" s="10" t="s">
        <v>952</v>
      </c>
      <c r="C210" s="11" t="s">
        <v>22</v>
      </c>
      <c r="D210" s="11" t="s">
        <v>853</v>
      </c>
      <c r="E210" s="11" t="s">
        <v>953</v>
      </c>
      <c r="F210" s="10" t="s">
        <v>57</v>
      </c>
      <c r="G210" s="10" t="s">
        <v>76</v>
      </c>
      <c r="H210" s="11" t="s">
        <v>580</v>
      </c>
      <c r="I210" s="11" t="s">
        <v>954</v>
      </c>
      <c r="J210" s="11" t="s">
        <v>955</v>
      </c>
      <c r="K210" s="11" t="s">
        <v>956</v>
      </c>
      <c r="L210" s="11" t="s">
        <v>945</v>
      </c>
      <c r="M210" s="10" t="s">
        <v>14</v>
      </c>
      <c r="N210" s="12">
        <v>46316</v>
      </c>
      <c r="O210" s="10" t="s">
        <v>957</v>
      </c>
      <c r="P210" s="11"/>
    </row>
    <row r="211" spans="1:16" ht="48.75" customHeight="1" x14ac:dyDescent="0.35">
      <c r="A211" s="10">
        <v>210</v>
      </c>
      <c r="B211" s="10" t="s">
        <v>958</v>
      </c>
      <c r="C211" s="11" t="s">
        <v>22</v>
      </c>
      <c r="D211" s="11" t="s">
        <v>853</v>
      </c>
      <c r="E211" s="11" t="s">
        <v>959</v>
      </c>
      <c r="F211" s="10" t="s">
        <v>57</v>
      </c>
      <c r="G211" s="10" t="s">
        <v>76</v>
      </c>
      <c r="H211" s="11" t="s">
        <v>580</v>
      </c>
      <c r="I211" s="11" t="s">
        <v>960</v>
      </c>
      <c r="J211" s="11" t="s">
        <v>60</v>
      </c>
      <c r="K211" s="11" t="s">
        <v>961</v>
      </c>
      <c r="L211" s="11" t="s">
        <v>962</v>
      </c>
      <c r="M211" s="10" t="s">
        <v>14</v>
      </c>
      <c r="N211" s="12">
        <v>46316</v>
      </c>
      <c r="O211" s="10" t="s">
        <v>963</v>
      </c>
      <c r="P211" s="11"/>
    </row>
    <row r="212" spans="1:16" ht="48.75" customHeight="1" x14ac:dyDescent="0.35">
      <c r="A212" s="10">
        <v>211</v>
      </c>
      <c r="B212" s="10" t="s">
        <v>964</v>
      </c>
      <c r="C212" s="11" t="s">
        <v>22</v>
      </c>
      <c r="D212" s="11" t="s">
        <v>853</v>
      </c>
      <c r="E212" s="11" t="s">
        <v>965</v>
      </c>
      <c r="F212" s="10" t="s">
        <v>57</v>
      </c>
      <c r="G212" s="10" t="s">
        <v>49</v>
      </c>
      <c r="H212" s="11" t="s">
        <v>966</v>
      </c>
      <c r="I212" s="11" t="s">
        <v>967</v>
      </c>
      <c r="J212" s="11" t="s">
        <v>60</v>
      </c>
      <c r="K212" s="11" t="s">
        <v>842</v>
      </c>
      <c r="L212" s="11" t="s">
        <v>945</v>
      </c>
      <c r="M212" s="10" t="s">
        <v>14</v>
      </c>
      <c r="N212" s="12">
        <v>46316</v>
      </c>
      <c r="O212" s="10" t="s">
        <v>968</v>
      </c>
      <c r="P212" s="11"/>
    </row>
    <row r="213" spans="1:16" ht="63.75" customHeight="1" x14ac:dyDescent="0.35">
      <c r="A213" s="10">
        <v>212</v>
      </c>
      <c r="B213" s="10" t="s">
        <v>969</v>
      </c>
      <c r="C213" s="11" t="s">
        <v>22</v>
      </c>
      <c r="D213" s="11" t="s">
        <v>853</v>
      </c>
      <c r="E213" s="11" t="s">
        <v>970</v>
      </c>
      <c r="F213" s="10" t="s">
        <v>57</v>
      </c>
      <c r="G213" s="10" t="s">
        <v>76</v>
      </c>
      <c r="H213" s="11" t="s">
        <v>580</v>
      </c>
      <c r="I213" s="11" t="s">
        <v>971</v>
      </c>
      <c r="J213" s="11" t="s">
        <v>60</v>
      </c>
      <c r="K213" s="11" t="s">
        <v>657</v>
      </c>
      <c r="L213" s="11" t="s">
        <v>53</v>
      </c>
      <c r="M213" s="10" t="s">
        <v>13</v>
      </c>
      <c r="N213" s="12">
        <v>46316</v>
      </c>
      <c r="O213" s="10"/>
      <c r="P213" s="11"/>
    </row>
    <row r="214" spans="1:16" ht="48.75" customHeight="1" x14ac:dyDescent="0.35">
      <c r="A214" s="10">
        <v>213</v>
      </c>
      <c r="B214" s="10" t="s">
        <v>972</v>
      </c>
      <c r="C214" s="11" t="s">
        <v>22</v>
      </c>
      <c r="D214" s="11" t="s">
        <v>853</v>
      </c>
      <c r="E214" s="11" t="s">
        <v>973</v>
      </c>
      <c r="F214" s="10" t="s">
        <v>57</v>
      </c>
      <c r="G214" s="10" t="s">
        <v>76</v>
      </c>
      <c r="H214" s="11" t="s">
        <v>580</v>
      </c>
      <c r="I214" s="11" t="s">
        <v>974</v>
      </c>
      <c r="J214" s="11" t="s">
        <v>60</v>
      </c>
      <c r="K214" s="11" t="s">
        <v>657</v>
      </c>
      <c r="L214" s="11" t="s">
        <v>53</v>
      </c>
      <c r="M214" s="10" t="s">
        <v>13</v>
      </c>
      <c r="N214" s="12">
        <v>46316</v>
      </c>
      <c r="O214" s="10"/>
      <c r="P214" s="11"/>
    </row>
    <row r="215" spans="1:16" ht="63.75" customHeight="1" x14ac:dyDescent="0.35">
      <c r="A215" s="10">
        <v>214</v>
      </c>
      <c r="B215" s="10" t="s">
        <v>975</v>
      </c>
      <c r="C215" s="11" t="s">
        <v>22</v>
      </c>
      <c r="D215" s="11" t="s">
        <v>853</v>
      </c>
      <c r="E215" s="11" t="s">
        <v>976</v>
      </c>
      <c r="F215" s="10" t="s">
        <v>57</v>
      </c>
      <c r="G215" s="10" t="s">
        <v>288</v>
      </c>
      <c r="H215" s="11" t="s">
        <v>580</v>
      </c>
      <c r="I215" s="11" t="s">
        <v>977</v>
      </c>
      <c r="J215" s="11" t="s">
        <v>60</v>
      </c>
      <c r="K215" s="11" t="s">
        <v>961</v>
      </c>
      <c r="L215" s="11" t="s">
        <v>53</v>
      </c>
      <c r="M215" s="10" t="s">
        <v>13</v>
      </c>
      <c r="N215" s="12">
        <v>46316</v>
      </c>
      <c r="O215" s="10"/>
      <c r="P215" s="11"/>
    </row>
    <row r="216" spans="1:16" ht="63.75" customHeight="1" x14ac:dyDescent="0.35">
      <c r="A216" s="10">
        <v>215</v>
      </c>
      <c r="B216" s="10" t="s">
        <v>978</v>
      </c>
      <c r="C216" s="11" t="s">
        <v>22</v>
      </c>
      <c r="D216" s="11" t="s">
        <v>853</v>
      </c>
      <c r="E216" s="11" t="s">
        <v>979</v>
      </c>
      <c r="F216" s="10" t="s">
        <v>57</v>
      </c>
      <c r="G216" s="10" t="s">
        <v>76</v>
      </c>
      <c r="H216" s="11" t="s">
        <v>580</v>
      </c>
      <c r="I216" s="11" t="s">
        <v>980</v>
      </c>
      <c r="J216" s="11" t="s">
        <v>60</v>
      </c>
      <c r="K216" s="11" t="s">
        <v>680</v>
      </c>
      <c r="L216" s="11" t="s">
        <v>53</v>
      </c>
      <c r="M216" s="10" t="s">
        <v>13</v>
      </c>
      <c r="N216" s="12">
        <v>46317</v>
      </c>
      <c r="O216" s="10"/>
      <c r="P216" s="11"/>
    </row>
    <row r="217" spans="1:16" ht="63.75" customHeight="1" x14ac:dyDescent="0.35">
      <c r="A217" s="10">
        <v>216</v>
      </c>
      <c r="B217" s="10" t="s">
        <v>981</v>
      </c>
      <c r="C217" s="11" t="s">
        <v>22</v>
      </c>
      <c r="D217" s="11" t="s">
        <v>853</v>
      </c>
      <c r="E217" s="11" t="s">
        <v>982</v>
      </c>
      <c r="F217" s="10" t="s">
        <v>57</v>
      </c>
      <c r="G217" s="10" t="s">
        <v>49</v>
      </c>
      <c r="H217" s="11" t="s">
        <v>580</v>
      </c>
      <c r="I217" s="11" t="s">
        <v>983</v>
      </c>
      <c r="J217" s="11" t="s">
        <v>60</v>
      </c>
      <c r="K217" s="11" t="s">
        <v>846</v>
      </c>
      <c r="L217" s="11" t="s">
        <v>53</v>
      </c>
      <c r="M217" s="10" t="s">
        <v>13</v>
      </c>
      <c r="N217" s="12">
        <v>46316</v>
      </c>
      <c r="O217" s="10"/>
      <c r="P217" s="11"/>
    </row>
    <row r="218" spans="1:16" ht="78.75" customHeight="1" x14ac:dyDescent="0.35">
      <c r="A218" s="10">
        <v>217</v>
      </c>
      <c r="B218" s="10" t="s">
        <v>984</v>
      </c>
      <c r="C218" s="11" t="s">
        <v>22</v>
      </c>
      <c r="D218" s="11" t="s">
        <v>853</v>
      </c>
      <c r="E218" s="11" t="s">
        <v>985</v>
      </c>
      <c r="F218" s="10" t="s">
        <v>57</v>
      </c>
      <c r="G218" s="10" t="s">
        <v>76</v>
      </c>
      <c r="H218" s="11" t="s">
        <v>580</v>
      </c>
      <c r="I218" s="11" t="s">
        <v>986</v>
      </c>
      <c r="J218" s="11" t="s">
        <v>987</v>
      </c>
      <c r="K218" s="11" t="s">
        <v>988</v>
      </c>
      <c r="L218" s="11" t="s">
        <v>53</v>
      </c>
      <c r="M218" s="10" t="s">
        <v>13</v>
      </c>
      <c r="N218" s="12">
        <v>46316</v>
      </c>
      <c r="O218" s="10"/>
      <c r="P218" s="11"/>
    </row>
    <row r="219" spans="1:16" ht="63.75" customHeight="1" x14ac:dyDescent="0.35">
      <c r="A219" s="10">
        <v>218</v>
      </c>
      <c r="B219" s="10" t="s">
        <v>989</v>
      </c>
      <c r="C219" s="11" t="s">
        <v>22</v>
      </c>
      <c r="D219" s="11" t="s">
        <v>853</v>
      </c>
      <c r="E219" s="11" t="s">
        <v>990</v>
      </c>
      <c r="F219" s="10" t="s">
        <v>57</v>
      </c>
      <c r="G219" s="10" t="s">
        <v>76</v>
      </c>
      <c r="H219" s="11" t="s">
        <v>580</v>
      </c>
      <c r="I219" s="11" t="s">
        <v>991</v>
      </c>
      <c r="J219" s="11" t="s">
        <v>60</v>
      </c>
      <c r="K219" s="11" t="s">
        <v>992</v>
      </c>
      <c r="L219" s="11" t="s">
        <v>53</v>
      </c>
      <c r="M219" s="10" t="s">
        <v>13</v>
      </c>
      <c r="N219" s="12">
        <v>46316</v>
      </c>
      <c r="O219" s="10"/>
      <c r="P219" s="11"/>
    </row>
    <row r="220" spans="1:16" ht="48.75" customHeight="1" x14ac:dyDescent="0.35">
      <c r="A220" s="10">
        <v>219</v>
      </c>
      <c r="B220" s="10" t="s">
        <v>993</v>
      </c>
      <c r="C220" s="11" t="s">
        <v>22</v>
      </c>
      <c r="D220" s="11" t="s">
        <v>853</v>
      </c>
      <c r="E220" s="11" t="s">
        <v>994</v>
      </c>
      <c r="F220" s="10" t="s">
        <v>57</v>
      </c>
      <c r="G220" s="10" t="s">
        <v>76</v>
      </c>
      <c r="H220" s="11" t="s">
        <v>580</v>
      </c>
      <c r="I220" s="11" t="s">
        <v>995</v>
      </c>
      <c r="J220" s="11" t="s">
        <v>996</v>
      </c>
      <c r="K220" s="11" t="s">
        <v>997</v>
      </c>
      <c r="L220" s="11" t="s">
        <v>53</v>
      </c>
      <c r="M220" s="10" t="s">
        <v>13</v>
      </c>
      <c r="N220" s="12">
        <v>46316</v>
      </c>
      <c r="O220" s="10"/>
      <c r="P220" s="11"/>
    </row>
    <row r="221" spans="1:16" ht="33.75" customHeight="1" x14ac:dyDescent="0.35">
      <c r="A221" s="10">
        <v>220</v>
      </c>
      <c r="B221" s="10" t="s">
        <v>998</v>
      </c>
      <c r="C221" s="11" t="s">
        <v>22</v>
      </c>
      <c r="D221" s="11" t="s">
        <v>853</v>
      </c>
      <c r="E221" s="11" t="s">
        <v>999</v>
      </c>
      <c r="F221" s="10" t="s">
        <v>57</v>
      </c>
      <c r="G221" s="10" t="s">
        <v>76</v>
      </c>
      <c r="H221" s="11" t="s">
        <v>691</v>
      </c>
      <c r="I221" s="11" t="s">
        <v>394</v>
      </c>
      <c r="J221" s="11" t="s">
        <v>60</v>
      </c>
      <c r="K221" s="11" t="s">
        <v>1000</v>
      </c>
      <c r="L221" s="11" t="s">
        <v>53</v>
      </c>
      <c r="M221" s="10" t="s">
        <v>13</v>
      </c>
      <c r="N221" s="12">
        <v>46316</v>
      </c>
      <c r="O221" s="10"/>
      <c r="P221" s="11"/>
    </row>
    <row r="222" spans="1:16" ht="78.75" customHeight="1" x14ac:dyDescent="0.35">
      <c r="A222" s="10">
        <v>221</v>
      </c>
      <c r="B222" s="10" t="s">
        <v>1001</v>
      </c>
      <c r="C222" s="11" t="s">
        <v>23</v>
      </c>
      <c r="D222" s="11" t="s">
        <v>1002</v>
      </c>
      <c r="E222" s="11" t="s">
        <v>1003</v>
      </c>
      <c r="F222" s="10" t="s">
        <v>48</v>
      </c>
      <c r="G222" s="10" t="s">
        <v>49</v>
      </c>
      <c r="H222" s="11" t="s">
        <v>1004</v>
      </c>
      <c r="I222" s="11" t="s">
        <v>1005</v>
      </c>
      <c r="J222" s="11" t="s">
        <v>60</v>
      </c>
      <c r="K222" s="11" t="s">
        <v>1006</v>
      </c>
      <c r="L222" s="11" t="s">
        <v>53</v>
      </c>
      <c r="M222" s="10" t="s">
        <v>13</v>
      </c>
      <c r="N222" s="12">
        <v>46318</v>
      </c>
      <c r="O222" s="10"/>
      <c r="P222" s="11"/>
    </row>
    <row r="223" spans="1:16" ht="33.75" customHeight="1" x14ac:dyDescent="0.35">
      <c r="A223" s="10">
        <v>222</v>
      </c>
      <c r="B223" s="10" t="s">
        <v>1007</v>
      </c>
      <c r="C223" s="11" t="s">
        <v>23</v>
      </c>
      <c r="D223" s="11" t="s">
        <v>1002</v>
      </c>
      <c r="E223" s="11" t="s">
        <v>1008</v>
      </c>
      <c r="F223" s="10" t="s">
        <v>48</v>
      </c>
      <c r="G223" s="10" t="s">
        <v>76</v>
      </c>
      <c r="H223" s="11" t="s">
        <v>1009</v>
      </c>
      <c r="I223" s="11" t="s">
        <v>228</v>
      </c>
      <c r="J223" s="11" t="s">
        <v>60</v>
      </c>
      <c r="K223" s="11" t="s">
        <v>1010</v>
      </c>
      <c r="L223" s="11" t="s">
        <v>53</v>
      </c>
      <c r="M223" s="10" t="s">
        <v>13</v>
      </c>
      <c r="N223" s="12">
        <v>46318</v>
      </c>
      <c r="O223" s="10"/>
      <c r="P223" s="11"/>
    </row>
    <row r="224" spans="1:16" ht="63.75" customHeight="1" x14ac:dyDescent="0.35">
      <c r="A224" s="10">
        <v>223</v>
      </c>
      <c r="B224" s="10" t="s">
        <v>1011</v>
      </c>
      <c r="C224" s="11" t="s">
        <v>23</v>
      </c>
      <c r="D224" s="11" t="s">
        <v>1002</v>
      </c>
      <c r="E224" s="11" t="s">
        <v>1012</v>
      </c>
      <c r="F224" s="10" t="s">
        <v>48</v>
      </c>
      <c r="G224" s="10" t="s">
        <v>49</v>
      </c>
      <c r="H224" s="11" t="s">
        <v>1013</v>
      </c>
      <c r="I224" s="11" t="s">
        <v>1014</v>
      </c>
      <c r="J224" s="11" t="s">
        <v>60</v>
      </c>
      <c r="K224" s="11" t="s">
        <v>1015</v>
      </c>
      <c r="L224" s="11" t="s">
        <v>53</v>
      </c>
      <c r="M224" s="10" t="s">
        <v>13</v>
      </c>
      <c r="N224" s="12">
        <v>46318</v>
      </c>
      <c r="O224" s="10"/>
      <c r="P224" s="11"/>
    </row>
    <row r="225" spans="1:16" ht="48.75" customHeight="1" x14ac:dyDescent="0.35">
      <c r="A225" s="10">
        <v>224</v>
      </c>
      <c r="B225" s="10" t="s">
        <v>1016</v>
      </c>
      <c r="C225" s="11" t="s">
        <v>23</v>
      </c>
      <c r="D225" s="11" t="s">
        <v>1002</v>
      </c>
      <c r="E225" s="11" t="s">
        <v>1017</v>
      </c>
      <c r="F225" s="10" t="s">
        <v>48</v>
      </c>
      <c r="G225" s="10" t="s">
        <v>76</v>
      </c>
      <c r="H225" s="11" t="s">
        <v>1018</v>
      </c>
      <c r="I225" s="11" t="s">
        <v>1019</v>
      </c>
      <c r="J225" s="11" t="s">
        <v>60</v>
      </c>
      <c r="K225" s="11" t="s">
        <v>1020</v>
      </c>
      <c r="L225" s="11" t="s">
        <v>53</v>
      </c>
      <c r="M225" s="10" t="s">
        <v>13</v>
      </c>
      <c r="N225" s="12">
        <v>46318</v>
      </c>
      <c r="O225" s="10"/>
      <c r="P225" s="11"/>
    </row>
    <row r="226" spans="1:16" ht="33.75" customHeight="1" x14ac:dyDescent="0.35">
      <c r="A226" s="10">
        <v>225</v>
      </c>
      <c r="B226" s="10" t="s">
        <v>1021</v>
      </c>
      <c r="C226" s="11" t="s">
        <v>23</v>
      </c>
      <c r="D226" s="11" t="s">
        <v>1002</v>
      </c>
      <c r="E226" s="11" t="s">
        <v>1022</v>
      </c>
      <c r="F226" s="10" t="s">
        <v>48</v>
      </c>
      <c r="G226" s="10" t="s">
        <v>288</v>
      </c>
      <c r="H226" s="11" t="s">
        <v>1023</v>
      </c>
      <c r="I226" s="11" t="s">
        <v>421</v>
      </c>
      <c r="J226" s="11" t="s">
        <v>60</v>
      </c>
      <c r="K226" s="11" t="s">
        <v>1024</v>
      </c>
      <c r="L226" s="11" t="s">
        <v>53</v>
      </c>
      <c r="M226" s="10" t="s">
        <v>13</v>
      </c>
      <c r="N226" s="12">
        <v>46318</v>
      </c>
      <c r="O226" s="10"/>
      <c r="P226" s="11"/>
    </row>
    <row r="227" spans="1:16" ht="48.75" customHeight="1" x14ac:dyDescent="0.35">
      <c r="A227" s="10">
        <v>226</v>
      </c>
      <c r="B227" s="10" t="s">
        <v>1025</v>
      </c>
      <c r="C227" s="11" t="s">
        <v>23</v>
      </c>
      <c r="D227" s="11" t="s">
        <v>1002</v>
      </c>
      <c r="E227" s="11" t="s">
        <v>1026</v>
      </c>
      <c r="F227" s="10" t="s">
        <v>48</v>
      </c>
      <c r="G227" s="10" t="s">
        <v>49</v>
      </c>
      <c r="H227" s="11" t="s">
        <v>1027</v>
      </c>
      <c r="I227" s="11" t="s">
        <v>1028</v>
      </c>
      <c r="J227" s="11" t="s">
        <v>60</v>
      </c>
      <c r="K227" s="11" t="s">
        <v>1029</v>
      </c>
      <c r="L227" s="11" t="s">
        <v>53</v>
      </c>
      <c r="M227" s="10" t="s">
        <v>13</v>
      </c>
      <c r="N227" s="12">
        <v>46318</v>
      </c>
      <c r="O227" s="10"/>
      <c r="P227" s="11"/>
    </row>
    <row r="228" spans="1:16" ht="33.75" customHeight="1" x14ac:dyDescent="0.35">
      <c r="A228" s="10">
        <v>227</v>
      </c>
      <c r="B228" s="10" t="s">
        <v>1030</v>
      </c>
      <c r="C228" s="11" t="s">
        <v>23</v>
      </c>
      <c r="D228" s="11" t="s">
        <v>1002</v>
      </c>
      <c r="E228" s="11" t="s">
        <v>1031</v>
      </c>
      <c r="F228" s="10" t="s">
        <v>48</v>
      </c>
      <c r="G228" s="10" t="s">
        <v>76</v>
      </c>
      <c r="H228" s="11" t="s">
        <v>1032</v>
      </c>
      <c r="I228" s="11" t="s">
        <v>1033</v>
      </c>
      <c r="J228" s="11" t="s">
        <v>1034</v>
      </c>
      <c r="K228" s="11" t="s">
        <v>1035</v>
      </c>
      <c r="L228" s="11" t="s">
        <v>53</v>
      </c>
      <c r="M228" s="10" t="s">
        <v>13</v>
      </c>
      <c r="N228" s="12">
        <v>46318</v>
      </c>
      <c r="O228" s="10"/>
      <c r="P228" s="11"/>
    </row>
    <row r="229" spans="1:16" ht="48.75" customHeight="1" x14ac:dyDescent="0.35">
      <c r="A229" s="10">
        <v>228</v>
      </c>
      <c r="B229" s="10" t="s">
        <v>1036</v>
      </c>
      <c r="C229" s="11" t="s">
        <v>23</v>
      </c>
      <c r="D229" s="11" t="s">
        <v>1002</v>
      </c>
      <c r="E229" s="11" t="s">
        <v>1037</v>
      </c>
      <c r="F229" s="10" t="s">
        <v>48</v>
      </c>
      <c r="G229" s="10" t="s">
        <v>76</v>
      </c>
      <c r="H229" s="11" t="s">
        <v>1038</v>
      </c>
      <c r="I229" s="11" t="s">
        <v>1039</v>
      </c>
      <c r="J229" s="11" t="s">
        <v>60</v>
      </c>
      <c r="K229" s="11" t="s">
        <v>1040</v>
      </c>
      <c r="L229" s="11" t="s">
        <v>53</v>
      </c>
      <c r="M229" s="10" t="s">
        <v>13</v>
      </c>
      <c r="N229" s="12">
        <v>46318</v>
      </c>
      <c r="O229" s="10"/>
      <c r="P229" s="11"/>
    </row>
    <row r="230" spans="1:16" ht="33.75" customHeight="1" x14ac:dyDescent="0.35">
      <c r="A230" s="10">
        <v>229</v>
      </c>
      <c r="B230" s="10" t="s">
        <v>1041</v>
      </c>
      <c r="C230" s="11" t="s">
        <v>23</v>
      </c>
      <c r="D230" s="11" t="s">
        <v>1002</v>
      </c>
      <c r="E230" s="11" t="s">
        <v>1042</v>
      </c>
      <c r="F230" s="10" t="s">
        <v>48</v>
      </c>
      <c r="G230" s="10" t="s">
        <v>288</v>
      </c>
      <c r="H230" s="11" t="s">
        <v>1043</v>
      </c>
      <c r="I230" s="11" t="s">
        <v>1044</v>
      </c>
      <c r="J230" s="11" t="s">
        <v>1045</v>
      </c>
      <c r="K230" s="11" t="s">
        <v>1046</v>
      </c>
      <c r="L230" s="11" t="s">
        <v>53</v>
      </c>
      <c r="M230" s="10" t="s">
        <v>13</v>
      </c>
      <c r="N230" s="12">
        <v>46318</v>
      </c>
      <c r="O230" s="10"/>
      <c r="P230" s="11"/>
    </row>
    <row r="231" spans="1:16" ht="33.75" customHeight="1" x14ac:dyDescent="0.35">
      <c r="A231" s="10">
        <v>230</v>
      </c>
      <c r="B231" s="10" t="s">
        <v>1047</v>
      </c>
      <c r="C231" s="11" t="s">
        <v>23</v>
      </c>
      <c r="D231" s="11" t="s">
        <v>1002</v>
      </c>
      <c r="E231" s="11" t="s">
        <v>1048</v>
      </c>
      <c r="F231" s="10" t="s">
        <v>48</v>
      </c>
      <c r="G231" s="10" t="s">
        <v>288</v>
      </c>
      <c r="H231" s="11" t="s">
        <v>1043</v>
      </c>
      <c r="I231" s="11" t="s">
        <v>1049</v>
      </c>
      <c r="J231" s="11" t="s">
        <v>60</v>
      </c>
      <c r="K231" s="11" t="s">
        <v>442</v>
      </c>
      <c r="L231" s="11" t="s">
        <v>53</v>
      </c>
      <c r="M231" s="10" t="s">
        <v>13</v>
      </c>
      <c r="N231" s="12">
        <v>46318</v>
      </c>
      <c r="O231" s="10"/>
      <c r="P231" s="11"/>
    </row>
    <row r="232" spans="1:16" ht="33.75" customHeight="1" x14ac:dyDescent="0.35">
      <c r="A232" s="10">
        <v>231</v>
      </c>
      <c r="B232" s="10" t="s">
        <v>1050</v>
      </c>
      <c r="C232" s="11" t="s">
        <v>23</v>
      </c>
      <c r="D232" s="11" t="s">
        <v>1002</v>
      </c>
      <c r="E232" s="11" t="s">
        <v>1051</v>
      </c>
      <c r="F232" s="10" t="s">
        <v>48</v>
      </c>
      <c r="G232" s="10" t="s">
        <v>76</v>
      </c>
      <c r="H232" s="11" t="s">
        <v>470</v>
      </c>
      <c r="I232" s="11" t="s">
        <v>1052</v>
      </c>
      <c r="J232" s="11" t="s">
        <v>60</v>
      </c>
      <c r="K232" s="11" t="s">
        <v>1053</v>
      </c>
      <c r="L232" s="11" t="s">
        <v>53</v>
      </c>
      <c r="M232" s="10" t="s">
        <v>13</v>
      </c>
      <c r="N232" s="12">
        <v>46318</v>
      </c>
      <c r="O232" s="10"/>
      <c r="P232" s="11"/>
    </row>
    <row r="233" spans="1:16" ht="33.75" customHeight="1" x14ac:dyDescent="0.35">
      <c r="A233" s="10">
        <v>232</v>
      </c>
      <c r="B233" s="10" t="s">
        <v>1054</v>
      </c>
      <c r="C233" s="11" t="s">
        <v>23</v>
      </c>
      <c r="D233" s="11" t="s">
        <v>1002</v>
      </c>
      <c r="E233" s="11" t="s">
        <v>1055</v>
      </c>
      <c r="F233" s="10" t="s">
        <v>48</v>
      </c>
      <c r="G233" s="10" t="s">
        <v>49</v>
      </c>
      <c r="H233" s="11" t="s">
        <v>1056</v>
      </c>
      <c r="I233" s="11" t="s">
        <v>1057</v>
      </c>
      <c r="J233" s="11" t="s">
        <v>60</v>
      </c>
      <c r="K233" s="11" t="s">
        <v>1058</v>
      </c>
      <c r="L233" s="11" t="s">
        <v>53</v>
      </c>
      <c r="M233" s="10" t="s">
        <v>13</v>
      </c>
      <c r="N233" s="12">
        <v>46318</v>
      </c>
      <c r="O233" s="10"/>
      <c r="P233" s="11"/>
    </row>
    <row r="234" spans="1:16" ht="33.75" customHeight="1" x14ac:dyDescent="0.35">
      <c r="A234" s="10">
        <v>233</v>
      </c>
      <c r="B234" s="10" t="s">
        <v>1059</v>
      </c>
      <c r="C234" s="11" t="s">
        <v>23</v>
      </c>
      <c r="D234" s="11" t="s">
        <v>1002</v>
      </c>
      <c r="E234" s="11" t="s">
        <v>1060</v>
      </c>
      <c r="F234" s="10" t="s">
        <v>48</v>
      </c>
      <c r="G234" s="10" t="s">
        <v>49</v>
      </c>
      <c r="H234" s="11" t="s">
        <v>1061</v>
      </c>
      <c r="I234" s="11" t="s">
        <v>1062</v>
      </c>
      <c r="J234" s="11" t="s">
        <v>60</v>
      </c>
      <c r="K234" s="11" t="s">
        <v>1063</v>
      </c>
      <c r="L234" s="11" t="s">
        <v>53</v>
      </c>
      <c r="M234" s="10" t="s">
        <v>13</v>
      </c>
      <c r="N234" s="12">
        <v>46318</v>
      </c>
      <c r="O234" s="10"/>
      <c r="P234" s="11"/>
    </row>
    <row r="235" spans="1:16" ht="48.75" customHeight="1" x14ac:dyDescent="0.35">
      <c r="A235" s="10">
        <v>234</v>
      </c>
      <c r="B235" s="10" t="s">
        <v>1064</v>
      </c>
      <c r="C235" s="11" t="s">
        <v>23</v>
      </c>
      <c r="D235" s="11" t="s">
        <v>1002</v>
      </c>
      <c r="E235" s="11" t="s">
        <v>1065</v>
      </c>
      <c r="F235" s="10" t="s">
        <v>48</v>
      </c>
      <c r="G235" s="10" t="s">
        <v>49</v>
      </c>
      <c r="H235" s="11" t="s">
        <v>1066</v>
      </c>
      <c r="I235" s="11" t="s">
        <v>1067</v>
      </c>
      <c r="J235" s="11" t="s">
        <v>60</v>
      </c>
      <c r="K235" s="11" t="s">
        <v>1068</v>
      </c>
      <c r="L235" s="11" t="s">
        <v>53</v>
      </c>
      <c r="M235" s="10" t="s">
        <v>13</v>
      </c>
      <c r="N235" s="12">
        <v>46318</v>
      </c>
      <c r="O235" s="10"/>
      <c r="P235" s="11"/>
    </row>
    <row r="236" spans="1:16" ht="48.75" customHeight="1" x14ac:dyDescent="0.35">
      <c r="A236" s="10">
        <v>235</v>
      </c>
      <c r="B236" s="10" t="s">
        <v>1069</v>
      </c>
      <c r="C236" s="11" t="s">
        <v>23</v>
      </c>
      <c r="D236" s="11" t="s">
        <v>1002</v>
      </c>
      <c r="E236" s="11" t="s">
        <v>1070</v>
      </c>
      <c r="F236" s="10" t="s">
        <v>48</v>
      </c>
      <c r="G236" s="10" t="s">
        <v>76</v>
      </c>
      <c r="H236" s="11" t="s">
        <v>1071</v>
      </c>
      <c r="I236" s="11" t="s">
        <v>1072</v>
      </c>
      <c r="J236" s="11" t="s">
        <v>1073</v>
      </c>
      <c r="K236" s="11" t="s">
        <v>1074</v>
      </c>
      <c r="L236" s="11" t="s">
        <v>53</v>
      </c>
      <c r="M236" s="10" t="s">
        <v>13</v>
      </c>
      <c r="N236" s="12">
        <v>46318</v>
      </c>
      <c r="O236" s="10"/>
      <c r="P236" s="11"/>
    </row>
    <row r="237" spans="1:16" ht="48.75" customHeight="1" x14ac:dyDescent="0.35">
      <c r="A237" s="10">
        <v>236</v>
      </c>
      <c r="B237" s="10" t="s">
        <v>1075</v>
      </c>
      <c r="C237" s="11" t="s">
        <v>23</v>
      </c>
      <c r="D237" s="11" t="s">
        <v>1002</v>
      </c>
      <c r="E237" s="11" t="s">
        <v>1076</v>
      </c>
      <c r="F237" s="10" t="s">
        <v>48</v>
      </c>
      <c r="G237" s="10" t="s">
        <v>76</v>
      </c>
      <c r="H237" s="11" t="s">
        <v>1077</v>
      </c>
      <c r="I237" s="11" t="s">
        <v>1078</v>
      </c>
      <c r="J237" s="11" t="s">
        <v>60</v>
      </c>
      <c r="K237" s="11" t="s">
        <v>1079</v>
      </c>
      <c r="L237" s="11" t="s">
        <v>53</v>
      </c>
      <c r="M237" s="10" t="s">
        <v>13</v>
      </c>
      <c r="N237" s="12">
        <v>46318</v>
      </c>
      <c r="O237" s="10"/>
      <c r="P237" s="11"/>
    </row>
    <row r="238" spans="1:16" ht="33.75" customHeight="1" x14ac:dyDescent="0.35">
      <c r="A238" s="10">
        <v>237</v>
      </c>
      <c r="B238" s="10" t="s">
        <v>1080</v>
      </c>
      <c r="C238" s="11" t="s">
        <v>23</v>
      </c>
      <c r="D238" s="11" t="s">
        <v>1002</v>
      </c>
      <c r="E238" s="11" t="s">
        <v>1081</v>
      </c>
      <c r="F238" s="10" t="s">
        <v>48</v>
      </c>
      <c r="G238" s="10" t="s">
        <v>76</v>
      </c>
      <c r="H238" s="11" t="s">
        <v>470</v>
      </c>
      <c r="I238" s="11" t="s">
        <v>1082</v>
      </c>
      <c r="J238" s="11" t="s">
        <v>60</v>
      </c>
      <c r="K238" s="11" t="s">
        <v>1083</v>
      </c>
      <c r="L238" s="11" t="s">
        <v>53</v>
      </c>
      <c r="M238" s="10" t="s">
        <v>13</v>
      </c>
      <c r="N238" s="12">
        <v>46318</v>
      </c>
      <c r="O238" s="10"/>
      <c r="P238" s="11"/>
    </row>
    <row r="239" spans="1:16" ht="63.75" customHeight="1" x14ac:dyDescent="0.35">
      <c r="A239" s="10">
        <v>238</v>
      </c>
      <c r="B239" s="10" t="s">
        <v>1084</v>
      </c>
      <c r="C239" s="11" t="s">
        <v>23</v>
      </c>
      <c r="D239" s="11" t="s">
        <v>1002</v>
      </c>
      <c r="E239" s="11" t="s">
        <v>1085</v>
      </c>
      <c r="F239" s="10" t="s">
        <v>48</v>
      </c>
      <c r="G239" s="10" t="s">
        <v>76</v>
      </c>
      <c r="H239" s="11" t="s">
        <v>1086</v>
      </c>
      <c r="I239" s="11" t="s">
        <v>1087</v>
      </c>
      <c r="J239" s="11" t="s">
        <v>60</v>
      </c>
      <c r="K239" s="11" t="s">
        <v>1088</v>
      </c>
      <c r="L239" s="11" t="s">
        <v>53</v>
      </c>
      <c r="M239" s="10" t="s">
        <v>13</v>
      </c>
      <c r="N239" s="12">
        <v>46318</v>
      </c>
      <c r="O239" s="10"/>
      <c r="P239" s="11"/>
    </row>
    <row r="240" spans="1:16" ht="63.75" customHeight="1" x14ac:dyDescent="0.35">
      <c r="A240" s="10">
        <v>239</v>
      </c>
      <c r="B240" s="10" t="s">
        <v>1089</v>
      </c>
      <c r="C240" s="11" t="s">
        <v>23</v>
      </c>
      <c r="D240" s="11" t="s">
        <v>1002</v>
      </c>
      <c r="E240" s="11" t="s">
        <v>1090</v>
      </c>
      <c r="F240" s="10" t="s">
        <v>48</v>
      </c>
      <c r="G240" s="10" t="s">
        <v>49</v>
      </c>
      <c r="H240" s="11" t="s">
        <v>1091</v>
      </c>
      <c r="I240" s="11" t="s">
        <v>1092</v>
      </c>
      <c r="J240" s="11" t="s">
        <v>60</v>
      </c>
      <c r="K240" s="11" t="s">
        <v>1093</v>
      </c>
      <c r="L240" s="11" t="s">
        <v>53</v>
      </c>
      <c r="M240" s="10" t="s">
        <v>13</v>
      </c>
      <c r="N240" s="12">
        <v>46318</v>
      </c>
      <c r="O240" s="10"/>
      <c r="P240" s="11"/>
    </row>
    <row r="241" spans="1:16" ht="63.75" customHeight="1" x14ac:dyDescent="0.35">
      <c r="A241" s="10">
        <v>240</v>
      </c>
      <c r="B241" s="10" t="s">
        <v>1094</v>
      </c>
      <c r="C241" s="11" t="s">
        <v>23</v>
      </c>
      <c r="D241" s="11" t="s">
        <v>1002</v>
      </c>
      <c r="E241" s="11" t="s">
        <v>1095</v>
      </c>
      <c r="F241" s="10" t="s">
        <v>48</v>
      </c>
      <c r="G241" s="10" t="s">
        <v>76</v>
      </c>
      <c r="H241" s="11" t="s">
        <v>1096</v>
      </c>
      <c r="I241" s="11" t="s">
        <v>1097</v>
      </c>
      <c r="J241" s="11" t="s">
        <v>60</v>
      </c>
      <c r="K241" s="11" t="s">
        <v>1098</v>
      </c>
      <c r="L241" s="11" t="s">
        <v>53</v>
      </c>
      <c r="M241" s="10" t="s">
        <v>13</v>
      </c>
      <c r="N241" s="12">
        <v>46318</v>
      </c>
      <c r="O241" s="10"/>
      <c r="P241" s="11"/>
    </row>
    <row r="242" spans="1:16" ht="63.75" customHeight="1" x14ac:dyDescent="0.35">
      <c r="A242" s="10">
        <v>241</v>
      </c>
      <c r="B242" s="10" t="s">
        <v>1099</v>
      </c>
      <c r="C242" s="11" t="s">
        <v>23</v>
      </c>
      <c r="D242" s="11" t="s">
        <v>1002</v>
      </c>
      <c r="E242" s="11" t="s">
        <v>1100</v>
      </c>
      <c r="F242" s="10" t="s">
        <v>48</v>
      </c>
      <c r="G242" s="10" t="s">
        <v>76</v>
      </c>
      <c r="H242" s="11" t="s">
        <v>1101</v>
      </c>
      <c r="I242" s="11" t="s">
        <v>1102</v>
      </c>
      <c r="J242" s="11" t="s">
        <v>60</v>
      </c>
      <c r="K242" s="11" t="s">
        <v>1103</v>
      </c>
      <c r="L242" s="11" t="s">
        <v>53</v>
      </c>
      <c r="M242" s="10" t="s">
        <v>13</v>
      </c>
      <c r="N242" s="12">
        <v>46318</v>
      </c>
      <c r="O242" s="10"/>
      <c r="P242" s="11"/>
    </row>
    <row r="243" spans="1:16" ht="63.75" customHeight="1" x14ac:dyDescent="0.35">
      <c r="A243" s="10">
        <v>242</v>
      </c>
      <c r="B243" s="10" t="s">
        <v>1104</v>
      </c>
      <c r="C243" s="11" t="s">
        <v>23</v>
      </c>
      <c r="D243" s="11" t="s">
        <v>1002</v>
      </c>
      <c r="E243" s="11" t="s">
        <v>1105</v>
      </c>
      <c r="F243" s="10" t="s">
        <v>48</v>
      </c>
      <c r="G243" s="10" t="s">
        <v>76</v>
      </c>
      <c r="H243" s="11" t="s">
        <v>1106</v>
      </c>
      <c r="I243" s="11" t="s">
        <v>1107</v>
      </c>
      <c r="J243" s="11" t="s">
        <v>60</v>
      </c>
      <c r="K243" s="11" t="s">
        <v>1108</v>
      </c>
      <c r="L243" s="11" t="s">
        <v>53</v>
      </c>
      <c r="M243" s="10" t="s">
        <v>13</v>
      </c>
      <c r="N243" s="12">
        <v>46318</v>
      </c>
      <c r="O243" s="10"/>
      <c r="P243" s="11"/>
    </row>
    <row r="244" spans="1:16" ht="48.75" customHeight="1" x14ac:dyDescent="0.35">
      <c r="A244" s="10">
        <v>243</v>
      </c>
      <c r="B244" s="10" t="s">
        <v>1109</v>
      </c>
      <c r="C244" s="11" t="s">
        <v>23</v>
      </c>
      <c r="D244" s="11" t="s">
        <v>1002</v>
      </c>
      <c r="E244" s="11" t="s">
        <v>1110</v>
      </c>
      <c r="F244" s="10" t="s">
        <v>48</v>
      </c>
      <c r="G244" s="10" t="s">
        <v>76</v>
      </c>
      <c r="H244" s="11" t="s">
        <v>1101</v>
      </c>
      <c r="I244" s="11" t="s">
        <v>1111</v>
      </c>
      <c r="J244" s="11" t="s">
        <v>60</v>
      </c>
      <c r="K244" s="11" t="s">
        <v>1112</v>
      </c>
      <c r="L244" s="11" t="s">
        <v>53</v>
      </c>
      <c r="M244" s="10" t="s">
        <v>13</v>
      </c>
      <c r="N244" s="12">
        <v>46318</v>
      </c>
      <c r="O244" s="10"/>
      <c r="P244" s="11"/>
    </row>
    <row r="245" spans="1:16" ht="63.75" customHeight="1" x14ac:dyDescent="0.35">
      <c r="A245" s="10">
        <v>244</v>
      </c>
      <c r="B245" s="10" t="s">
        <v>1113</v>
      </c>
      <c r="C245" s="11" t="s">
        <v>23</v>
      </c>
      <c r="D245" s="11" t="s">
        <v>1002</v>
      </c>
      <c r="E245" s="11" t="s">
        <v>1114</v>
      </c>
      <c r="F245" s="10" t="s">
        <v>48</v>
      </c>
      <c r="G245" s="10" t="s">
        <v>49</v>
      </c>
      <c r="H245" s="11" t="s">
        <v>1061</v>
      </c>
      <c r="I245" s="11" t="s">
        <v>1115</v>
      </c>
      <c r="J245" s="11" t="s">
        <v>60</v>
      </c>
      <c r="K245" s="11" t="s">
        <v>1116</v>
      </c>
      <c r="L245" s="11" t="s">
        <v>53</v>
      </c>
      <c r="M245" s="10" t="s">
        <v>13</v>
      </c>
      <c r="N245" s="12">
        <v>46318</v>
      </c>
      <c r="O245" s="10"/>
      <c r="P245" s="11"/>
    </row>
    <row r="246" spans="1:16" ht="63.75" customHeight="1" x14ac:dyDescent="0.35">
      <c r="A246" s="10">
        <v>245</v>
      </c>
      <c r="B246" s="10" t="s">
        <v>1117</v>
      </c>
      <c r="C246" s="11" t="s">
        <v>23</v>
      </c>
      <c r="D246" s="11" t="s">
        <v>1002</v>
      </c>
      <c r="E246" s="11" t="s">
        <v>1118</v>
      </c>
      <c r="F246" s="10" t="s">
        <v>48</v>
      </c>
      <c r="G246" s="10" t="s">
        <v>49</v>
      </c>
      <c r="H246" s="11" t="s">
        <v>1056</v>
      </c>
      <c r="I246" s="11" t="s">
        <v>1119</v>
      </c>
      <c r="J246" s="11" t="s">
        <v>60</v>
      </c>
      <c r="K246" s="11" t="s">
        <v>1120</v>
      </c>
      <c r="L246" s="11" t="s">
        <v>53</v>
      </c>
      <c r="M246" s="10" t="s">
        <v>13</v>
      </c>
      <c r="N246" s="12">
        <v>46318</v>
      </c>
      <c r="O246" s="10"/>
      <c r="P246" s="11"/>
    </row>
    <row r="247" spans="1:16" ht="48.75" customHeight="1" x14ac:dyDescent="0.35">
      <c r="A247" s="10">
        <v>246</v>
      </c>
      <c r="B247" s="10" t="s">
        <v>1121</v>
      </c>
      <c r="C247" s="11" t="s">
        <v>23</v>
      </c>
      <c r="D247" s="11" t="s">
        <v>1002</v>
      </c>
      <c r="E247" s="11" t="s">
        <v>1122</v>
      </c>
      <c r="F247" s="10" t="s">
        <v>48</v>
      </c>
      <c r="G247" s="10" t="s">
        <v>76</v>
      </c>
      <c r="H247" s="11" t="s">
        <v>1123</v>
      </c>
      <c r="I247" s="11" t="s">
        <v>506</v>
      </c>
      <c r="J247" s="11" t="s">
        <v>60</v>
      </c>
      <c r="K247" s="11" t="s">
        <v>1124</v>
      </c>
      <c r="L247" s="11" t="s">
        <v>53</v>
      </c>
      <c r="M247" s="10" t="s">
        <v>13</v>
      </c>
      <c r="N247" s="12">
        <v>46318</v>
      </c>
      <c r="O247" s="10"/>
      <c r="P247" s="11"/>
    </row>
    <row r="248" spans="1:16" ht="48.75" customHeight="1" x14ac:dyDescent="0.35">
      <c r="A248" s="10">
        <v>247</v>
      </c>
      <c r="B248" s="10" t="s">
        <v>1125</v>
      </c>
      <c r="C248" s="11" t="s">
        <v>23</v>
      </c>
      <c r="D248" s="11" t="s">
        <v>1002</v>
      </c>
      <c r="E248" s="11" t="s">
        <v>1126</v>
      </c>
      <c r="F248" s="10" t="s">
        <v>48</v>
      </c>
      <c r="G248" s="10" t="s">
        <v>49</v>
      </c>
      <c r="H248" s="11" t="s">
        <v>1127</v>
      </c>
      <c r="I248" s="11" t="s">
        <v>1128</v>
      </c>
      <c r="J248" s="11" t="s">
        <v>60</v>
      </c>
      <c r="K248" s="11" t="s">
        <v>1129</v>
      </c>
      <c r="L248" s="11" t="s">
        <v>53</v>
      </c>
      <c r="M248" s="10" t="s">
        <v>13</v>
      </c>
      <c r="N248" s="12">
        <v>46318</v>
      </c>
      <c r="O248" s="10"/>
      <c r="P248" s="11"/>
    </row>
    <row r="249" spans="1:16" ht="48.75" customHeight="1" x14ac:dyDescent="0.35">
      <c r="A249" s="10">
        <v>248</v>
      </c>
      <c r="B249" s="10" t="s">
        <v>1130</v>
      </c>
      <c r="C249" s="11" t="s">
        <v>23</v>
      </c>
      <c r="D249" s="11" t="s">
        <v>1002</v>
      </c>
      <c r="E249" s="11" t="s">
        <v>1131</v>
      </c>
      <c r="F249" s="10" t="s">
        <v>48</v>
      </c>
      <c r="G249" s="10" t="s">
        <v>76</v>
      </c>
      <c r="H249" s="11" t="s">
        <v>1132</v>
      </c>
      <c r="I249" s="11" t="s">
        <v>1133</v>
      </c>
      <c r="J249" s="11" t="s">
        <v>60</v>
      </c>
      <c r="K249" s="11" t="s">
        <v>1134</v>
      </c>
      <c r="L249" s="11" t="s">
        <v>53</v>
      </c>
      <c r="M249" s="10" t="s">
        <v>13</v>
      </c>
      <c r="N249" s="12">
        <v>46318</v>
      </c>
      <c r="O249" s="10"/>
      <c r="P249" s="11"/>
    </row>
    <row r="250" spans="1:16" ht="33.75" customHeight="1" x14ac:dyDescent="0.35">
      <c r="A250" s="10">
        <v>249</v>
      </c>
      <c r="B250" s="10" t="s">
        <v>1135</v>
      </c>
      <c r="C250" s="11" t="s">
        <v>23</v>
      </c>
      <c r="D250" s="11" t="s">
        <v>1002</v>
      </c>
      <c r="E250" s="11" t="s">
        <v>1136</v>
      </c>
      <c r="F250" s="10" t="s">
        <v>57</v>
      </c>
      <c r="G250" s="10" t="s">
        <v>76</v>
      </c>
      <c r="H250" s="11" t="s">
        <v>470</v>
      </c>
      <c r="I250" s="11" t="s">
        <v>1137</v>
      </c>
      <c r="J250" s="11" t="s">
        <v>1138</v>
      </c>
      <c r="K250" s="11" t="s">
        <v>294</v>
      </c>
      <c r="L250" s="11" t="s">
        <v>53</v>
      </c>
      <c r="M250" s="10" t="s">
        <v>13</v>
      </c>
      <c r="N250" s="12">
        <v>46318</v>
      </c>
      <c r="O250" s="10"/>
      <c r="P250" s="11"/>
    </row>
    <row r="251" spans="1:16" ht="48.75" customHeight="1" x14ac:dyDescent="0.35">
      <c r="A251" s="10">
        <v>250</v>
      </c>
      <c r="B251" s="10" t="s">
        <v>1139</v>
      </c>
      <c r="C251" s="11" t="s">
        <v>23</v>
      </c>
      <c r="D251" s="11" t="s">
        <v>1002</v>
      </c>
      <c r="E251" s="11" t="s">
        <v>1140</v>
      </c>
      <c r="F251" s="10" t="s">
        <v>57</v>
      </c>
      <c r="G251" s="10" t="s">
        <v>288</v>
      </c>
      <c r="H251" s="11" t="s">
        <v>470</v>
      </c>
      <c r="I251" s="11" t="s">
        <v>297</v>
      </c>
      <c r="J251" s="11" t="s">
        <v>298</v>
      </c>
      <c r="K251" s="11" t="s">
        <v>299</v>
      </c>
      <c r="L251" s="11" t="s">
        <v>53</v>
      </c>
      <c r="M251" s="10" t="s">
        <v>13</v>
      </c>
      <c r="N251" s="12">
        <v>46318</v>
      </c>
      <c r="O251" s="10"/>
      <c r="P251" s="11"/>
    </row>
    <row r="252" spans="1:16" ht="48.75" customHeight="1" x14ac:dyDescent="0.35">
      <c r="A252" s="10">
        <v>251</v>
      </c>
      <c r="B252" s="10" t="s">
        <v>1141</v>
      </c>
      <c r="C252" s="11" t="s">
        <v>23</v>
      </c>
      <c r="D252" s="11" t="s">
        <v>1002</v>
      </c>
      <c r="E252" s="11" t="s">
        <v>1142</v>
      </c>
      <c r="F252" s="10" t="s">
        <v>57</v>
      </c>
      <c r="G252" s="10" t="s">
        <v>288</v>
      </c>
      <c r="H252" s="11" t="s">
        <v>470</v>
      </c>
      <c r="I252" s="11" t="s">
        <v>525</v>
      </c>
      <c r="J252" s="11" t="s">
        <v>60</v>
      </c>
      <c r="K252" s="11" t="s">
        <v>526</v>
      </c>
      <c r="L252" s="11" t="s">
        <v>53</v>
      </c>
      <c r="M252" s="10" t="s">
        <v>13</v>
      </c>
      <c r="N252" s="12">
        <v>46318</v>
      </c>
      <c r="O252" s="10"/>
      <c r="P252" s="11"/>
    </row>
    <row r="253" spans="1:16" ht="33.75" customHeight="1" x14ac:dyDescent="0.35">
      <c r="A253" s="10">
        <v>252</v>
      </c>
      <c r="B253" s="10" t="s">
        <v>1143</v>
      </c>
      <c r="C253" s="11" t="s">
        <v>23</v>
      </c>
      <c r="D253" s="11" t="s">
        <v>1002</v>
      </c>
      <c r="E253" s="11" t="s">
        <v>1144</v>
      </c>
      <c r="F253" s="10" t="s">
        <v>57</v>
      </c>
      <c r="G253" s="10" t="s">
        <v>288</v>
      </c>
      <c r="H253" s="11" t="s">
        <v>470</v>
      </c>
      <c r="I253" s="11" t="s">
        <v>807</v>
      </c>
      <c r="J253" s="11" t="s">
        <v>60</v>
      </c>
      <c r="K253" s="11" t="s">
        <v>808</v>
      </c>
      <c r="L253" s="11" t="s">
        <v>53</v>
      </c>
      <c r="M253" s="10" t="s">
        <v>13</v>
      </c>
      <c r="N253" s="12">
        <v>46318</v>
      </c>
      <c r="O253" s="10"/>
      <c r="P253" s="11"/>
    </row>
    <row r="254" spans="1:16" ht="48.75" customHeight="1" x14ac:dyDescent="0.35">
      <c r="A254" s="10">
        <v>253</v>
      </c>
      <c r="B254" s="10" t="s">
        <v>1145</v>
      </c>
      <c r="C254" s="11" t="s">
        <v>23</v>
      </c>
      <c r="D254" s="11" t="s">
        <v>1002</v>
      </c>
      <c r="E254" s="11" t="s">
        <v>1146</v>
      </c>
      <c r="F254" s="10" t="s">
        <v>57</v>
      </c>
      <c r="G254" s="10" t="s">
        <v>76</v>
      </c>
      <c r="H254" s="11" t="s">
        <v>1043</v>
      </c>
      <c r="I254" s="11" t="s">
        <v>1147</v>
      </c>
      <c r="J254" s="11" t="s">
        <v>60</v>
      </c>
      <c r="K254" s="11" t="s">
        <v>1148</v>
      </c>
      <c r="L254" s="11" t="s">
        <v>53</v>
      </c>
      <c r="M254" s="10" t="s">
        <v>13</v>
      </c>
      <c r="N254" s="12">
        <v>46318</v>
      </c>
      <c r="O254" s="10"/>
      <c r="P254" s="11"/>
    </row>
    <row r="255" spans="1:16" ht="48.75" customHeight="1" x14ac:dyDescent="0.35">
      <c r="A255" s="10">
        <v>254</v>
      </c>
      <c r="B255" s="10" t="s">
        <v>1149</v>
      </c>
      <c r="C255" s="11" t="s">
        <v>23</v>
      </c>
      <c r="D255" s="11" t="s">
        <v>1002</v>
      </c>
      <c r="E255" s="11" t="s">
        <v>1150</v>
      </c>
      <c r="F255" s="10" t="s">
        <v>57</v>
      </c>
      <c r="G255" s="10" t="s">
        <v>288</v>
      </c>
      <c r="H255" s="11" t="s">
        <v>1151</v>
      </c>
      <c r="I255" s="11" t="s">
        <v>1152</v>
      </c>
      <c r="J255" s="11" t="s">
        <v>60</v>
      </c>
      <c r="K255" s="11" t="s">
        <v>309</v>
      </c>
      <c r="L255" s="11" t="s">
        <v>53</v>
      </c>
      <c r="M255" s="10" t="s">
        <v>13</v>
      </c>
      <c r="N255" s="12">
        <v>46318</v>
      </c>
      <c r="O255" s="10"/>
      <c r="P255" s="11"/>
    </row>
    <row r="256" spans="1:16" ht="48.75" customHeight="1" x14ac:dyDescent="0.35">
      <c r="A256" s="10">
        <v>255</v>
      </c>
      <c r="B256" s="10" t="s">
        <v>1153</v>
      </c>
      <c r="C256" s="11" t="s">
        <v>23</v>
      </c>
      <c r="D256" s="11" t="s">
        <v>1002</v>
      </c>
      <c r="E256" s="11" t="s">
        <v>1154</v>
      </c>
      <c r="F256" s="10" t="s">
        <v>57</v>
      </c>
      <c r="G256" s="10" t="s">
        <v>49</v>
      </c>
      <c r="H256" s="11" t="s">
        <v>1101</v>
      </c>
      <c r="I256" s="11" t="s">
        <v>1155</v>
      </c>
      <c r="J256" s="11" t="s">
        <v>60</v>
      </c>
      <c r="K256" s="11" t="s">
        <v>1156</v>
      </c>
      <c r="L256" s="11" t="s">
        <v>53</v>
      </c>
      <c r="M256" s="10" t="s">
        <v>13</v>
      </c>
      <c r="N256" s="12">
        <v>46318</v>
      </c>
      <c r="O256" s="10"/>
      <c r="P256" s="11"/>
    </row>
    <row r="257" spans="1:16" ht="63.75" customHeight="1" x14ac:dyDescent="0.35">
      <c r="A257" s="10">
        <v>256</v>
      </c>
      <c r="B257" s="10" t="s">
        <v>1157</v>
      </c>
      <c r="C257" s="11" t="s">
        <v>23</v>
      </c>
      <c r="D257" s="11" t="s">
        <v>1002</v>
      </c>
      <c r="E257" s="11" t="s">
        <v>1158</v>
      </c>
      <c r="F257" s="10" t="s">
        <v>57</v>
      </c>
      <c r="G257" s="10" t="s">
        <v>76</v>
      </c>
      <c r="H257" s="11" t="s">
        <v>1101</v>
      </c>
      <c r="I257" s="11" t="s">
        <v>1159</v>
      </c>
      <c r="J257" s="11" t="s">
        <v>1160</v>
      </c>
      <c r="K257" s="11" t="s">
        <v>997</v>
      </c>
      <c r="L257" s="11" t="s">
        <v>53</v>
      </c>
      <c r="M257" s="10" t="s">
        <v>13</v>
      </c>
      <c r="N257" s="12">
        <v>46318</v>
      </c>
      <c r="O257" s="10"/>
      <c r="P257" s="11"/>
    </row>
    <row r="258" spans="1:16" ht="48.75" customHeight="1" x14ac:dyDescent="0.35">
      <c r="A258" s="10">
        <v>257</v>
      </c>
      <c r="B258" s="10" t="s">
        <v>1161</v>
      </c>
      <c r="C258" s="11" t="s">
        <v>23</v>
      </c>
      <c r="D258" s="11" t="s">
        <v>1002</v>
      </c>
      <c r="E258" s="11" t="s">
        <v>1162</v>
      </c>
      <c r="F258" s="10" t="s">
        <v>57</v>
      </c>
      <c r="G258" s="10" t="s">
        <v>49</v>
      </c>
      <c r="H258" s="11" t="s">
        <v>1101</v>
      </c>
      <c r="I258" s="11" t="s">
        <v>1163</v>
      </c>
      <c r="J258" s="11" t="s">
        <v>60</v>
      </c>
      <c r="K258" s="11" t="s">
        <v>1164</v>
      </c>
      <c r="L258" s="11" t="s">
        <v>53</v>
      </c>
      <c r="M258" s="10" t="s">
        <v>13</v>
      </c>
      <c r="N258" s="12">
        <v>46318</v>
      </c>
      <c r="O258" s="10"/>
      <c r="P258" s="11"/>
    </row>
    <row r="259" spans="1:16" ht="48.75" customHeight="1" x14ac:dyDescent="0.35">
      <c r="A259" s="10">
        <v>258</v>
      </c>
      <c r="B259" s="10" t="s">
        <v>1165</v>
      </c>
      <c r="C259" s="11" t="s">
        <v>23</v>
      </c>
      <c r="D259" s="11" t="s">
        <v>1002</v>
      </c>
      <c r="E259" s="11" t="s">
        <v>1166</v>
      </c>
      <c r="F259" s="10" t="s">
        <v>57</v>
      </c>
      <c r="G259" s="10" t="s">
        <v>76</v>
      </c>
      <c r="H259" s="11" t="s">
        <v>1101</v>
      </c>
      <c r="I259" s="11" t="s">
        <v>1167</v>
      </c>
      <c r="J259" s="11" t="s">
        <v>60</v>
      </c>
      <c r="K259" s="11" t="s">
        <v>1168</v>
      </c>
      <c r="L259" s="11" t="s">
        <v>53</v>
      </c>
      <c r="M259" s="10" t="s">
        <v>13</v>
      </c>
      <c r="N259" s="12">
        <v>46318</v>
      </c>
      <c r="O259" s="10"/>
      <c r="P259" s="11"/>
    </row>
    <row r="260" spans="1:16" ht="63.75" customHeight="1" x14ac:dyDescent="0.35">
      <c r="A260" s="10">
        <v>259</v>
      </c>
      <c r="B260" s="10" t="s">
        <v>1169</v>
      </c>
      <c r="C260" s="11" t="s">
        <v>23</v>
      </c>
      <c r="D260" s="11" t="s">
        <v>1002</v>
      </c>
      <c r="E260" s="11" t="s">
        <v>1170</v>
      </c>
      <c r="F260" s="10" t="s">
        <v>57</v>
      </c>
      <c r="G260" s="10" t="s">
        <v>49</v>
      </c>
      <c r="H260" s="11" t="s">
        <v>1171</v>
      </c>
      <c r="I260" s="11" t="s">
        <v>1172</v>
      </c>
      <c r="J260" s="11" t="s">
        <v>60</v>
      </c>
      <c r="K260" s="11" t="s">
        <v>1173</v>
      </c>
      <c r="L260" s="11" t="s">
        <v>53</v>
      </c>
      <c r="M260" s="10" t="s">
        <v>13</v>
      </c>
      <c r="N260" s="12">
        <v>46318</v>
      </c>
      <c r="O260" s="10"/>
      <c r="P260" s="11"/>
    </row>
    <row r="261" spans="1:16" ht="48.75" customHeight="1" x14ac:dyDescent="0.35">
      <c r="A261" s="10">
        <v>260</v>
      </c>
      <c r="B261" s="10" t="s">
        <v>1174</v>
      </c>
      <c r="C261" s="11" t="s">
        <v>23</v>
      </c>
      <c r="D261" s="11" t="s">
        <v>1002</v>
      </c>
      <c r="E261" s="11" t="s">
        <v>1175</v>
      </c>
      <c r="F261" s="10" t="s">
        <v>57</v>
      </c>
      <c r="G261" s="10" t="s">
        <v>49</v>
      </c>
      <c r="H261" s="11" t="s">
        <v>1176</v>
      </c>
      <c r="I261" s="11" t="s">
        <v>1177</v>
      </c>
      <c r="J261" s="11" t="s">
        <v>60</v>
      </c>
      <c r="K261" s="11" t="s">
        <v>1178</v>
      </c>
      <c r="L261" s="11" t="s">
        <v>53</v>
      </c>
      <c r="M261" s="10" t="s">
        <v>13</v>
      </c>
      <c r="N261" s="12">
        <v>46318</v>
      </c>
      <c r="O261" s="10"/>
      <c r="P261" s="11"/>
    </row>
    <row r="262" spans="1:16" ht="48.75" customHeight="1" x14ac:dyDescent="0.35">
      <c r="A262" s="10">
        <v>261</v>
      </c>
      <c r="B262" s="10" t="s">
        <v>1179</v>
      </c>
      <c r="C262" s="11" t="s">
        <v>23</v>
      </c>
      <c r="D262" s="11" t="s">
        <v>1002</v>
      </c>
      <c r="E262" s="11" t="s">
        <v>1180</v>
      </c>
      <c r="F262" s="10" t="s">
        <v>57</v>
      </c>
      <c r="G262" s="10" t="s">
        <v>76</v>
      </c>
      <c r="H262" s="11" t="s">
        <v>1101</v>
      </c>
      <c r="I262" s="11" t="s">
        <v>1181</v>
      </c>
      <c r="J262" s="11" t="s">
        <v>60</v>
      </c>
      <c r="K262" s="11" t="s">
        <v>1182</v>
      </c>
      <c r="L262" s="11" t="s">
        <v>53</v>
      </c>
      <c r="M262" s="10" t="s">
        <v>13</v>
      </c>
      <c r="N262" s="12">
        <v>46318</v>
      </c>
      <c r="O262" s="10"/>
      <c r="P262" s="11"/>
    </row>
    <row r="263" spans="1:16" ht="48.75" customHeight="1" x14ac:dyDescent="0.35">
      <c r="A263" s="10">
        <v>262</v>
      </c>
      <c r="B263" s="10" t="s">
        <v>1183</v>
      </c>
      <c r="C263" s="11" t="s">
        <v>23</v>
      </c>
      <c r="D263" s="11" t="s">
        <v>1002</v>
      </c>
      <c r="E263" s="11" t="s">
        <v>1184</v>
      </c>
      <c r="F263" s="10" t="s">
        <v>57</v>
      </c>
      <c r="G263" s="10" t="s">
        <v>49</v>
      </c>
      <c r="H263" s="11" t="s">
        <v>1185</v>
      </c>
      <c r="I263" s="11" t="s">
        <v>1186</v>
      </c>
      <c r="J263" s="11" t="s">
        <v>60</v>
      </c>
      <c r="K263" s="11" t="s">
        <v>1187</v>
      </c>
      <c r="L263" s="11" t="s">
        <v>53</v>
      </c>
      <c r="M263" s="10" t="s">
        <v>13</v>
      </c>
      <c r="N263" s="12">
        <v>46318</v>
      </c>
      <c r="O263" s="10"/>
      <c r="P263" s="11"/>
    </row>
    <row r="264" spans="1:16" ht="63.75" customHeight="1" x14ac:dyDescent="0.35">
      <c r="A264" s="10">
        <v>263</v>
      </c>
      <c r="B264" s="10" t="s">
        <v>1188</v>
      </c>
      <c r="C264" s="11" t="s">
        <v>23</v>
      </c>
      <c r="D264" s="11" t="s">
        <v>1189</v>
      </c>
      <c r="E264" s="11" t="s">
        <v>1190</v>
      </c>
      <c r="F264" s="10" t="s">
        <v>48</v>
      </c>
      <c r="G264" s="10" t="s">
        <v>76</v>
      </c>
      <c r="H264" s="11" t="s">
        <v>561</v>
      </c>
      <c r="I264" s="11" t="s">
        <v>1191</v>
      </c>
      <c r="J264" s="11" t="s">
        <v>60</v>
      </c>
      <c r="K264" s="11" t="s">
        <v>1192</v>
      </c>
      <c r="L264" s="11" t="s">
        <v>53</v>
      </c>
      <c r="M264" s="10" t="s">
        <v>13</v>
      </c>
      <c r="N264" s="12">
        <v>46317</v>
      </c>
      <c r="O264" s="10"/>
      <c r="P264" s="11"/>
    </row>
    <row r="265" spans="1:16" ht="63.75" customHeight="1" x14ac:dyDescent="0.35">
      <c r="A265" s="10">
        <v>264</v>
      </c>
      <c r="B265" s="10" t="s">
        <v>1193</v>
      </c>
      <c r="C265" s="11" t="s">
        <v>23</v>
      </c>
      <c r="D265" s="11" t="s">
        <v>1189</v>
      </c>
      <c r="E265" s="11" t="s">
        <v>1194</v>
      </c>
      <c r="F265" s="10" t="s">
        <v>48</v>
      </c>
      <c r="G265" s="10" t="s">
        <v>76</v>
      </c>
      <c r="H265" s="11" t="s">
        <v>580</v>
      </c>
      <c r="I265" s="11" t="s">
        <v>1195</v>
      </c>
      <c r="J265" s="11" t="s">
        <v>60</v>
      </c>
      <c r="K265" s="11" t="s">
        <v>1196</v>
      </c>
      <c r="L265" s="11" t="s">
        <v>53</v>
      </c>
      <c r="M265" s="10" t="s">
        <v>13</v>
      </c>
      <c r="N265" s="12">
        <v>46317</v>
      </c>
      <c r="O265" s="10"/>
      <c r="P265" s="11"/>
    </row>
    <row r="266" spans="1:16" ht="93.75" customHeight="1" x14ac:dyDescent="0.35">
      <c r="A266" s="10">
        <v>265</v>
      </c>
      <c r="B266" s="10" t="s">
        <v>1197</v>
      </c>
      <c r="C266" s="11" t="s">
        <v>23</v>
      </c>
      <c r="D266" s="11" t="s">
        <v>1189</v>
      </c>
      <c r="E266" s="11" t="s">
        <v>1198</v>
      </c>
      <c r="F266" s="10" t="s">
        <v>48</v>
      </c>
      <c r="G266" s="10" t="s">
        <v>49</v>
      </c>
      <c r="H266" s="11" t="s">
        <v>1199</v>
      </c>
      <c r="I266" s="11" t="s">
        <v>1200</v>
      </c>
      <c r="J266" s="11" t="s">
        <v>60</v>
      </c>
      <c r="K266" s="11" t="s">
        <v>1201</v>
      </c>
      <c r="L266" s="11" t="s">
        <v>53</v>
      </c>
      <c r="M266" s="10" t="s">
        <v>13</v>
      </c>
      <c r="N266" s="12">
        <v>46317</v>
      </c>
      <c r="O266" s="10"/>
      <c r="P266" s="11"/>
    </row>
    <row r="267" spans="1:16" ht="78.75" customHeight="1" x14ac:dyDescent="0.35">
      <c r="A267" s="10">
        <v>266</v>
      </c>
      <c r="B267" s="10" t="s">
        <v>1202</v>
      </c>
      <c r="C267" s="11" t="s">
        <v>23</v>
      </c>
      <c r="D267" s="11" t="s">
        <v>1189</v>
      </c>
      <c r="E267" s="11" t="s">
        <v>1203</v>
      </c>
      <c r="F267" s="10" t="s">
        <v>48</v>
      </c>
      <c r="G267" s="10" t="s">
        <v>49</v>
      </c>
      <c r="H267" s="11" t="s">
        <v>1199</v>
      </c>
      <c r="I267" s="11" t="s">
        <v>1204</v>
      </c>
      <c r="J267" s="11" t="s">
        <v>60</v>
      </c>
      <c r="K267" s="11" t="s">
        <v>1205</v>
      </c>
      <c r="L267" s="11" t="s">
        <v>53</v>
      </c>
      <c r="M267" s="10" t="s">
        <v>13</v>
      </c>
      <c r="N267" s="12">
        <v>46317</v>
      </c>
      <c r="O267" s="10"/>
      <c r="P267" s="11"/>
    </row>
    <row r="268" spans="1:16" ht="78.75" customHeight="1" x14ac:dyDescent="0.35">
      <c r="A268" s="10">
        <v>267</v>
      </c>
      <c r="B268" s="10" t="s">
        <v>1206</v>
      </c>
      <c r="C268" s="11" t="s">
        <v>23</v>
      </c>
      <c r="D268" s="11" t="s">
        <v>1189</v>
      </c>
      <c r="E268" s="11" t="s">
        <v>1207</v>
      </c>
      <c r="F268" s="10" t="s">
        <v>48</v>
      </c>
      <c r="G268" s="10" t="s">
        <v>49</v>
      </c>
      <c r="H268" s="11" t="s">
        <v>1199</v>
      </c>
      <c r="I268" s="11" t="s">
        <v>1208</v>
      </c>
      <c r="J268" s="11" t="s">
        <v>60</v>
      </c>
      <c r="K268" s="11" t="s">
        <v>1209</v>
      </c>
      <c r="L268" s="11" t="s">
        <v>53</v>
      </c>
      <c r="M268" s="10" t="s">
        <v>13</v>
      </c>
      <c r="N268" s="12">
        <v>46317</v>
      </c>
      <c r="O268" s="10"/>
      <c r="P268" s="11"/>
    </row>
    <row r="269" spans="1:16" ht="33.75" customHeight="1" x14ac:dyDescent="0.35">
      <c r="A269" s="10">
        <v>268</v>
      </c>
      <c r="B269" s="10" t="s">
        <v>1210</v>
      </c>
      <c r="C269" s="11" t="s">
        <v>23</v>
      </c>
      <c r="D269" s="11" t="s">
        <v>1189</v>
      </c>
      <c r="E269" s="11" t="s">
        <v>1211</v>
      </c>
      <c r="F269" s="10" t="s">
        <v>48</v>
      </c>
      <c r="G269" s="10" t="s">
        <v>76</v>
      </c>
      <c r="H269" s="11" t="s">
        <v>1212</v>
      </c>
      <c r="I269" s="11" t="s">
        <v>1213</v>
      </c>
      <c r="J269" s="11" t="s">
        <v>60</v>
      </c>
      <c r="K269" s="11" t="s">
        <v>1214</v>
      </c>
      <c r="L269" s="11" t="s">
        <v>53</v>
      </c>
      <c r="M269" s="10" t="s">
        <v>13</v>
      </c>
      <c r="N269" s="12">
        <v>46317</v>
      </c>
      <c r="O269" s="10"/>
      <c r="P269" s="11"/>
    </row>
    <row r="270" spans="1:16" ht="33.75" customHeight="1" x14ac:dyDescent="0.35">
      <c r="A270" s="10">
        <v>269</v>
      </c>
      <c r="B270" s="10" t="s">
        <v>1215</v>
      </c>
      <c r="C270" s="11" t="s">
        <v>23</v>
      </c>
      <c r="D270" s="11" t="s">
        <v>1189</v>
      </c>
      <c r="E270" s="11" t="s">
        <v>1216</v>
      </c>
      <c r="F270" s="10" t="s">
        <v>48</v>
      </c>
      <c r="G270" s="10" t="s">
        <v>76</v>
      </c>
      <c r="H270" s="11" t="s">
        <v>580</v>
      </c>
      <c r="I270" s="11" t="s">
        <v>1217</v>
      </c>
      <c r="J270" s="11" t="s">
        <v>60</v>
      </c>
      <c r="K270" s="11" t="s">
        <v>1218</v>
      </c>
      <c r="L270" s="11" t="s">
        <v>53</v>
      </c>
      <c r="M270" s="10" t="s">
        <v>13</v>
      </c>
      <c r="N270" s="12">
        <v>46317</v>
      </c>
      <c r="O270" s="10"/>
      <c r="P270" s="11"/>
    </row>
    <row r="271" spans="1:16" ht="48.75" customHeight="1" x14ac:dyDescent="0.35">
      <c r="A271" s="10">
        <v>270</v>
      </c>
      <c r="B271" s="10" t="s">
        <v>1219</v>
      </c>
      <c r="C271" s="11" t="s">
        <v>23</v>
      </c>
      <c r="D271" s="11" t="s">
        <v>1189</v>
      </c>
      <c r="E271" s="11" t="s">
        <v>1220</v>
      </c>
      <c r="F271" s="10" t="s">
        <v>48</v>
      </c>
      <c r="G271" s="10" t="s">
        <v>288</v>
      </c>
      <c r="H271" s="11" t="s">
        <v>580</v>
      </c>
      <c r="I271" s="11" t="s">
        <v>1221</v>
      </c>
      <c r="J271" s="11" t="s">
        <v>60</v>
      </c>
      <c r="K271" s="11" t="s">
        <v>893</v>
      </c>
      <c r="L271" s="11" t="s">
        <v>53</v>
      </c>
      <c r="M271" s="10" t="s">
        <v>13</v>
      </c>
      <c r="N271" s="12">
        <v>46317</v>
      </c>
      <c r="O271" s="10"/>
      <c r="P271" s="11"/>
    </row>
    <row r="272" spans="1:16" ht="48.75" customHeight="1" x14ac:dyDescent="0.35">
      <c r="A272" s="10">
        <v>271</v>
      </c>
      <c r="B272" s="10" t="s">
        <v>1222</v>
      </c>
      <c r="C272" s="11" t="s">
        <v>23</v>
      </c>
      <c r="D272" s="11" t="s">
        <v>1189</v>
      </c>
      <c r="E272" s="11" t="s">
        <v>1223</v>
      </c>
      <c r="F272" s="10" t="s">
        <v>48</v>
      </c>
      <c r="G272" s="10" t="s">
        <v>76</v>
      </c>
      <c r="H272" s="11" t="s">
        <v>580</v>
      </c>
      <c r="I272" s="11" t="s">
        <v>1224</v>
      </c>
      <c r="J272" s="11" t="s">
        <v>60</v>
      </c>
      <c r="K272" s="11" t="s">
        <v>1225</v>
      </c>
      <c r="L272" s="11" t="s">
        <v>53</v>
      </c>
      <c r="M272" s="10" t="s">
        <v>13</v>
      </c>
      <c r="N272" s="12">
        <v>46317</v>
      </c>
      <c r="O272" s="10"/>
      <c r="P272" s="11"/>
    </row>
    <row r="273" spans="1:16" ht="63.75" customHeight="1" x14ac:dyDescent="0.35">
      <c r="A273" s="10">
        <v>272</v>
      </c>
      <c r="B273" s="10" t="s">
        <v>1226</v>
      </c>
      <c r="C273" s="11" t="s">
        <v>23</v>
      </c>
      <c r="D273" s="11" t="s">
        <v>1189</v>
      </c>
      <c r="E273" s="11" t="s">
        <v>1227</v>
      </c>
      <c r="F273" s="10" t="s">
        <v>48</v>
      </c>
      <c r="G273" s="10" t="s">
        <v>76</v>
      </c>
      <c r="H273" s="11" t="s">
        <v>580</v>
      </c>
      <c r="I273" s="11" t="s">
        <v>1228</v>
      </c>
      <c r="J273" s="11" t="s">
        <v>60</v>
      </c>
      <c r="K273" s="11" t="s">
        <v>1229</v>
      </c>
      <c r="L273" s="11" t="s">
        <v>53</v>
      </c>
      <c r="M273" s="10" t="s">
        <v>13</v>
      </c>
      <c r="N273" s="12">
        <v>46317</v>
      </c>
      <c r="O273" s="10"/>
      <c r="P273" s="11"/>
    </row>
    <row r="274" spans="1:16" ht="33.75" customHeight="1" x14ac:dyDescent="0.35">
      <c r="A274" s="10">
        <v>273</v>
      </c>
      <c r="B274" s="10" t="s">
        <v>1230</v>
      </c>
      <c r="C274" s="11" t="s">
        <v>23</v>
      </c>
      <c r="D274" s="11" t="s">
        <v>1189</v>
      </c>
      <c r="E274" s="11" t="s">
        <v>1231</v>
      </c>
      <c r="F274" s="10" t="s">
        <v>48</v>
      </c>
      <c r="G274" s="10" t="s">
        <v>49</v>
      </c>
      <c r="H274" s="11" t="s">
        <v>580</v>
      </c>
      <c r="I274" s="11" t="s">
        <v>1232</v>
      </c>
      <c r="J274" s="11" t="s">
        <v>1233</v>
      </c>
      <c r="K274" s="11" t="s">
        <v>1234</v>
      </c>
      <c r="L274" s="11" t="s">
        <v>53</v>
      </c>
      <c r="M274" s="10" t="s">
        <v>13</v>
      </c>
      <c r="N274" s="12">
        <v>46317</v>
      </c>
      <c r="O274" s="10"/>
      <c r="P274" s="11"/>
    </row>
    <row r="275" spans="1:16" ht="33.75" customHeight="1" x14ac:dyDescent="0.35">
      <c r="A275" s="10">
        <v>274</v>
      </c>
      <c r="B275" s="10" t="s">
        <v>1235</v>
      </c>
      <c r="C275" s="11" t="s">
        <v>23</v>
      </c>
      <c r="D275" s="11" t="s">
        <v>1189</v>
      </c>
      <c r="E275" s="11" t="s">
        <v>1236</v>
      </c>
      <c r="F275" s="10" t="s">
        <v>48</v>
      </c>
      <c r="G275" s="10" t="s">
        <v>76</v>
      </c>
      <c r="H275" s="11" t="s">
        <v>1237</v>
      </c>
      <c r="I275" s="11" t="s">
        <v>1238</v>
      </c>
      <c r="J275" s="11" t="s">
        <v>60</v>
      </c>
      <c r="K275" s="11" t="s">
        <v>1239</v>
      </c>
      <c r="L275" s="11" t="s">
        <v>53</v>
      </c>
      <c r="M275" s="10" t="s">
        <v>13</v>
      </c>
      <c r="N275" s="12">
        <v>46317</v>
      </c>
      <c r="O275" s="10"/>
      <c r="P275" s="11"/>
    </row>
    <row r="276" spans="1:16" ht="33.75" customHeight="1" x14ac:dyDescent="0.35">
      <c r="A276" s="10">
        <v>275</v>
      </c>
      <c r="B276" s="10" t="s">
        <v>1240</v>
      </c>
      <c r="C276" s="11" t="s">
        <v>23</v>
      </c>
      <c r="D276" s="11" t="s">
        <v>1189</v>
      </c>
      <c r="E276" s="11" t="s">
        <v>1241</v>
      </c>
      <c r="F276" s="10" t="s">
        <v>48</v>
      </c>
      <c r="G276" s="10" t="s">
        <v>49</v>
      </c>
      <c r="H276" s="11" t="s">
        <v>580</v>
      </c>
      <c r="I276" s="11" t="s">
        <v>1242</v>
      </c>
      <c r="J276" s="11" t="s">
        <v>60</v>
      </c>
      <c r="K276" s="11" t="s">
        <v>1243</v>
      </c>
      <c r="L276" s="11" t="s">
        <v>53</v>
      </c>
      <c r="M276" s="10" t="s">
        <v>13</v>
      </c>
      <c r="N276" s="12">
        <v>46317</v>
      </c>
      <c r="O276" s="10"/>
      <c r="P276" s="11"/>
    </row>
    <row r="277" spans="1:16" ht="48.75" customHeight="1" x14ac:dyDescent="0.35">
      <c r="A277" s="10">
        <v>276</v>
      </c>
      <c r="B277" s="10" t="s">
        <v>1244</v>
      </c>
      <c r="C277" s="11" t="s">
        <v>23</v>
      </c>
      <c r="D277" s="11" t="s">
        <v>1189</v>
      </c>
      <c r="E277" s="11" t="s">
        <v>1245</v>
      </c>
      <c r="F277" s="10" t="s">
        <v>48</v>
      </c>
      <c r="G277" s="10" t="s">
        <v>49</v>
      </c>
      <c r="H277" s="11" t="s">
        <v>1246</v>
      </c>
      <c r="I277" s="11" t="s">
        <v>1247</v>
      </c>
      <c r="J277" s="11" t="s">
        <v>60</v>
      </c>
      <c r="K277" s="11" t="s">
        <v>1248</v>
      </c>
      <c r="L277" s="11" t="s">
        <v>53</v>
      </c>
      <c r="M277" s="10" t="s">
        <v>13</v>
      </c>
      <c r="N277" s="12">
        <v>46317</v>
      </c>
      <c r="O277" s="10"/>
      <c r="P277" s="11"/>
    </row>
    <row r="278" spans="1:16" ht="78.75" customHeight="1" x14ac:dyDescent="0.35">
      <c r="A278" s="10">
        <v>277</v>
      </c>
      <c r="B278" s="10" t="s">
        <v>1249</v>
      </c>
      <c r="C278" s="11" t="s">
        <v>23</v>
      </c>
      <c r="D278" s="11" t="s">
        <v>1189</v>
      </c>
      <c r="E278" s="11" t="s">
        <v>1250</v>
      </c>
      <c r="F278" s="10" t="s">
        <v>48</v>
      </c>
      <c r="G278" s="10" t="s">
        <v>76</v>
      </c>
      <c r="H278" s="11" t="s">
        <v>580</v>
      </c>
      <c r="I278" s="11" t="s">
        <v>1251</v>
      </c>
      <c r="J278" s="11" t="s">
        <v>1252</v>
      </c>
      <c r="K278" s="11" t="s">
        <v>1253</v>
      </c>
      <c r="L278" s="11" t="s">
        <v>53</v>
      </c>
      <c r="M278" s="10" t="s">
        <v>13</v>
      </c>
      <c r="N278" s="12">
        <v>46317</v>
      </c>
      <c r="O278" s="10"/>
      <c r="P278" s="11"/>
    </row>
    <row r="279" spans="1:16" ht="48.75" customHeight="1" x14ac:dyDescent="0.35">
      <c r="A279" s="10">
        <v>278</v>
      </c>
      <c r="B279" s="10" t="s">
        <v>1254</v>
      </c>
      <c r="C279" s="11" t="s">
        <v>23</v>
      </c>
      <c r="D279" s="11" t="s">
        <v>1189</v>
      </c>
      <c r="E279" s="11" t="s">
        <v>1255</v>
      </c>
      <c r="F279" s="10" t="s">
        <v>48</v>
      </c>
      <c r="G279" s="10" t="s">
        <v>76</v>
      </c>
      <c r="H279" s="11" t="s">
        <v>580</v>
      </c>
      <c r="I279" s="11" t="s">
        <v>1256</v>
      </c>
      <c r="J279" s="11" t="s">
        <v>60</v>
      </c>
      <c r="K279" s="11" t="s">
        <v>1257</v>
      </c>
      <c r="L279" s="11" t="s">
        <v>53</v>
      </c>
      <c r="M279" s="10" t="s">
        <v>13</v>
      </c>
      <c r="N279" s="12">
        <v>46317</v>
      </c>
      <c r="O279" s="10"/>
      <c r="P279" s="11"/>
    </row>
    <row r="280" spans="1:16" ht="48.75" customHeight="1" x14ac:dyDescent="0.35">
      <c r="A280" s="10">
        <v>279</v>
      </c>
      <c r="B280" s="10" t="s">
        <v>1258</v>
      </c>
      <c r="C280" s="11" t="s">
        <v>23</v>
      </c>
      <c r="D280" s="11" t="s">
        <v>1189</v>
      </c>
      <c r="E280" s="11" t="s">
        <v>1259</v>
      </c>
      <c r="F280" s="10" t="s">
        <v>48</v>
      </c>
      <c r="G280" s="10" t="s">
        <v>76</v>
      </c>
      <c r="H280" s="11" t="s">
        <v>580</v>
      </c>
      <c r="I280" s="11" t="s">
        <v>1260</v>
      </c>
      <c r="J280" s="11" t="s">
        <v>60</v>
      </c>
      <c r="K280" s="11" t="s">
        <v>1261</v>
      </c>
      <c r="L280" s="11" t="s">
        <v>53</v>
      </c>
      <c r="M280" s="10" t="s">
        <v>13</v>
      </c>
      <c r="N280" s="12">
        <v>46317</v>
      </c>
      <c r="O280" s="10"/>
      <c r="P280" s="11"/>
    </row>
    <row r="281" spans="1:16" ht="63.75" customHeight="1" x14ac:dyDescent="0.35">
      <c r="A281" s="10">
        <v>280</v>
      </c>
      <c r="B281" s="10" t="s">
        <v>1262</v>
      </c>
      <c r="C281" s="11" t="s">
        <v>23</v>
      </c>
      <c r="D281" s="11" t="s">
        <v>1189</v>
      </c>
      <c r="E281" s="11" t="s">
        <v>1263</v>
      </c>
      <c r="F281" s="10" t="s">
        <v>48</v>
      </c>
      <c r="G281" s="10" t="s">
        <v>76</v>
      </c>
      <c r="H281" s="11" t="s">
        <v>580</v>
      </c>
      <c r="I281" s="11" t="s">
        <v>1264</v>
      </c>
      <c r="J281" s="11" t="s">
        <v>1265</v>
      </c>
      <c r="K281" s="11" t="s">
        <v>1266</v>
      </c>
      <c r="L281" s="11" t="s">
        <v>53</v>
      </c>
      <c r="M281" s="10" t="s">
        <v>13</v>
      </c>
      <c r="N281" s="12">
        <v>46317</v>
      </c>
      <c r="O281" s="10"/>
      <c r="P281" s="11"/>
    </row>
    <row r="282" spans="1:16" ht="48.75" customHeight="1" x14ac:dyDescent="0.35">
      <c r="A282" s="10">
        <v>281</v>
      </c>
      <c r="B282" s="10" t="s">
        <v>1267</v>
      </c>
      <c r="C282" s="11" t="s">
        <v>23</v>
      </c>
      <c r="D282" s="11" t="s">
        <v>1189</v>
      </c>
      <c r="E282" s="11" t="s">
        <v>1268</v>
      </c>
      <c r="F282" s="10" t="s">
        <v>48</v>
      </c>
      <c r="G282" s="10" t="s">
        <v>288</v>
      </c>
      <c r="H282" s="11" t="s">
        <v>580</v>
      </c>
      <c r="I282" s="11" t="s">
        <v>1269</v>
      </c>
      <c r="J282" s="11" t="s">
        <v>60</v>
      </c>
      <c r="K282" s="11" t="s">
        <v>1270</v>
      </c>
      <c r="L282" s="11" t="s">
        <v>53</v>
      </c>
      <c r="M282" s="10" t="s">
        <v>13</v>
      </c>
      <c r="N282" s="12">
        <v>46317</v>
      </c>
      <c r="O282" s="10"/>
      <c r="P282" s="11"/>
    </row>
    <row r="283" spans="1:16" ht="48.75" customHeight="1" x14ac:dyDescent="0.35">
      <c r="A283" s="10">
        <v>282</v>
      </c>
      <c r="B283" s="10" t="s">
        <v>1271</v>
      </c>
      <c r="C283" s="11" t="s">
        <v>23</v>
      </c>
      <c r="D283" s="11" t="s">
        <v>1189</v>
      </c>
      <c r="E283" s="11" t="s">
        <v>1272</v>
      </c>
      <c r="F283" s="10" t="s">
        <v>48</v>
      </c>
      <c r="G283" s="10" t="s">
        <v>76</v>
      </c>
      <c r="H283" s="11" t="s">
        <v>1199</v>
      </c>
      <c r="I283" s="11" t="s">
        <v>1273</v>
      </c>
      <c r="J283" s="11" t="s">
        <v>60</v>
      </c>
      <c r="K283" s="11" t="s">
        <v>1274</v>
      </c>
      <c r="L283" s="11" t="s">
        <v>53</v>
      </c>
      <c r="M283" s="10" t="s">
        <v>13</v>
      </c>
      <c r="N283" s="12">
        <v>46317</v>
      </c>
      <c r="O283" s="10"/>
      <c r="P283" s="11"/>
    </row>
    <row r="284" spans="1:16" ht="48.75" customHeight="1" x14ac:dyDescent="0.35">
      <c r="A284" s="10">
        <v>283</v>
      </c>
      <c r="B284" s="10" t="s">
        <v>1275</v>
      </c>
      <c r="C284" s="11" t="s">
        <v>23</v>
      </c>
      <c r="D284" s="11" t="s">
        <v>1189</v>
      </c>
      <c r="E284" s="11" t="s">
        <v>1276</v>
      </c>
      <c r="F284" s="10" t="s">
        <v>48</v>
      </c>
      <c r="G284" s="10" t="s">
        <v>76</v>
      </c>
      <c r="H284" s="11" t="s">
        <v>1277</v>
      </c>
      <c r="I284" s="11" t="s">
        <v>1278</v>
      </c>
      <c r="J284" s="11" t="s">
        <v>60</v>
      </c>
      <c r="K284" s="11" t="s">
        <v>1279</v>
      </c>
      <c r="L284" s="11" t="s">
        <v>53</v>
      </c>
      <c r="M284" s="10" t="s">
        <v>13</v>
      </c>
      <c r="N284" s="12">
        <v>46317</v>
      </c>
      <c r="O284" s="10"/>
      <c r="P284" s="11"/>
    </row>
    <row r="285" spans="1:16" ht="48.75" customHeight="1" x14ac:dyDescent="0.35">
      <c r="A285" s="10">
        <v>284</v>
      </c>
      <c r="B285" s="10" t="s">
        <v>1280</v>
      </c>
      <c r="C285" s="11" t="s">
        <v>23</v>
      </c>
      <c r="D285" s="11" t="s">
        <v>1189</v>
      </c>
      <c r="E285" s="11" t="s">
        <v>1281</v>
      </c>
      <c r="F285" s="10" t="s">
        <v>48</v>
      </c>
      <c r="G285" s="10" t="s">
        <v>49</v>
      </c>
      <c r="H285" s="11" t="s">
        <v>1282</v>
      </c>
      <c r="I285" s="11" t="s">
        <v>1283</v>
      </c>
      <c r="J285" s="11" t="s">
        <v>60</v>
      </c>
      <c r="K285" s="11" t="s">
        <v>1284</v>
      </c>
      <c r="L285" s="11" t="s">
        <v>53</v>
      </c>
      <c r="M285" s="10" t="s">
        <v>13</v>
      </c>
      <c r="N285" s="12">
        <v>46317</v>
      </c>
      <c r="O285" s="10"/>
      <c r="P285" s="11"/>
    </row>
    <row r="286" spans="1:16" ht="48.75" customHeight="1" x14ac:dyDescent="0.35">
      <c r="A286" s="10">
        <v>285</v>
      </c>
      <c r="B286" s="10" t="s">
        <v>1285</v>
      </c>
      <c r="C286" s="11" t="s">
        <v>23</v>
      </c>
      <c r="D286" s="11" t="s">
        <v>1189</v>
      </c>
      <c r="E286" s="11" t="s">
        <v>1286</v>
      </c>
      <c r="F286" s="10" t="s">
        <v>48</v>
      </c>
      <c r="G286" s="10" t="s">
        <v>76</v>
      </c>
      <c r="H286" s="11" t="s">
        <v>1282</v>
      </c>
      <c r="I286" s="11" t="s">
        <v>1287</v>
      </c>
      <c r="J286" s="11" t="s">
        <v>60</v>
      </c>
      <c r="K286" s="11" t="s">
        <v>1288</v>
      </c>
      <c r="L286" s="11" t="s">
        <v>53</v>
      </c>
      <c r="M286" s="10" t="s">
        <v>13</v>
      </c>
      <c r="N286" s="12">
        <v>46317</v>
      </c>
      <c r="O286" s="10"/>
      <c r="P286" s="11"/>
    </row>
    <row r="287" spans="1:16" ht="63.75" customHeight="1" x14ac:dyDescent="0.35">
      <c r="A287" s="10">
        <v>286</v>
      </c>
      <c r="B287" s="10" t="s">
        <v>1289</v>
      </c>
      <c r="C287" s="11" t="s">
        <v>23</v>
      </c>
      <c r="D287" s="11" t="s">
        <v>1189</v>
      </c>
      <c r="E287" s="11" t="s">
        <v>1290</v>
      </c>
      <c r="F287" s="10" t="s">
        <v>48</v>
      </c>
      <c r="G287" s="10" t="s">
        <v>76</v>
      </c>
      <c r="H287" s="11" t="s">
        <v>580</v>
      </c>
      <c r="I287" s="11" t="s">
        <v>1291</v>
      </c>
      <c r="J287" s="11" t="s">
        <v>60</v>
      </c>
      <c r="K287" s="11" t="s">
        <v>1292</v>
      </c>
      <c r="L287" s="11" t="s">
        <v>53</v>
      </c>
      <c r="M287" s="10" t="s">
        <v>13</v>
      </c>
      <c r="N287" s="12">
        <v>46317</v>
      </c>
      <c r="O287" s="10"/>
      <c r="P287" s="11"/>
    </row>
    <row r="288" spans="1:16" ht="48.75" customHeight="1" x14ac:dyDescent="0.35">
      <c r="A288" s="10">
        <v>287</v>
      </c>
      <c r="B288" s="10" t="s">
        <v>1293</v>
      </c>
      <c r="C288" s="11" t="s">
        <v>23</v>
      </c>
      <c r="D288" s="11" t="s">
        <v>1189</v>
      </c>
      <c r="E288" s="11" t="s">
        <v>1294</v>
      </c>
      <c r="F288" s="10" t="s">
        <v>48</v>
      </c>
      <c r="G288" s="10" t="s">
        <v>76</v>
      </c>
      <c r="H288" s="11" t="s">
        <v>1295</v>
      </c>
      <c r="I288" s="11" t="s">
        <v>1296</v>
      </c>
      <c r="J288" s="11" t="s">
        <v>60</v>
      </c>
      <c r="K288" s="11" t="s">
        <v>1297</v>
      </c>
      <c r="L288" s="11" t="s">
        <v>53</v>
      </c>
      <c r="M288" s="10" t="s">
        <v>13</v>
      </c>
      <c r="N288" s="12">
        <v>46317</v>
      </c>
      <c r="O288" s="10"/>
      <c r="P288" s="11"/>
    </row>
    <row r="289" spans="1:16" ht="33.75" customHeight="1" x14ac:dyDescent="0.35">
      <c r="A289" s="10">
        <v>288</v>
      </c>
      <c r="B289" s="10" t="s">
        <v>1298</v>
      </c>
      <c r="C289" s="11" t="s">
        <v>23</v>
      </c>
      <c r="D289" s="11" t="s">
        <v>1189</v>
      </c>
      <c r="E289" s="11" t="s">
        <v>1299</v>
      </c>
      <c r="F289" s="10" t="s">
        <v>48</v>
      </c>
      <c r="G289" s="10" t="s">
        <v>76</v>
      </c>
      <c r="H289" s="11" t="s">
        <v>580</v>
      </c>
      <c r="I289" s="11" t="s">
        <v>356</v>
      </c>
      <c r="J289" s="11" t="s">
        <v>60</v>
      </c>
      <c r="K289" s="11" t="s">
        <v>1300</v>
      </c>
      <c r="L289" s="11" t="s">
        <v>53</v>
      </c>
      <c r="M289" s="10" t="s">
        <v>13</v>
      </c>
      <c r="N289" s="12">
        <v>46317</v>
      </c>
      <c r="O289" s="10"/>
      <c r="P289" s="11"/>
    </row>
    <row r="290" spans="1:16" ht="48.75" customHeight="1" x14ac:dyDescent="0.35">
      <c r="A290" s="10">
        <v>289</v>
      </c>
      <c r="B290" s="10" t="s">
        <v>1301</v>
      </c>
      <c r="C290" s="11" t="s">
        <v>23</v>
      </c>
      <c r="D290" s="11" t="s">
        <v>1189</v>
      </c>
      <c r="E290" s="11" t="s">
        <v>1302</v>
      </c>
      <c r="F290" s="10" t="s">
        <v>57</v>
      </c>
      <c r="G290" s="10" t="s">
        <v>49</v>
      </c>
      <c r="H290" s="11" t="s">
        <v>580</v>
      </c>
      <c r="I290" s="11" t="s">
        <v>1303</v>
      </c>
      <c r="J290" s="11" t="s">
        <v>60</v>
      </c>
      <c r="K290" s="11" t="s">
        <v>1304</v>
      </c>
      <c r="L290" s="11" t="s">
        <v>53</v>
      </c>
      <c r="M290" s="10" t="s">
        <v>13</v>
      </c>
      <c r="N290" s="12">
        <v>46317</v>
      </c>
      <c r="O290" s="10"/>
      <c r="P290" s="11"/>
    </row>
    <row r="291" spans="1:16" ht="63.75" customHeight="1" x14ac:dyDescent="0.35">
      <c r="A291" s="10">
        <v>290</v>
      </c>
      <c r="B291" s="10" t="s">
        <v>1305</v>
      </c>
      <c r="C291" s="11" t="s">
        <v>23</v>
      </c>
      <c r="D291" s="11" t="s">
        <v>1189</v>
      </c>
      <c r="E291" s="11" t="s">
        <v>1306</v>
      </c>
      <c r="F291" s="10" t="s">
        <v>57</v>
      </c>
      <c r="G291" s="10" t="s">
        <v>49</v>
      </c>
      <c r="H291" s="11" t="s">
        <v>580</v>
      </c>
      <c r="I291" s="11" t="s">
        <v>1307</v>
      </c>
      <c r="J291" s="11" t="s">
        <v>60</v>
      </c>
      <c r="K291" s="11" t="s">
        <v>1156</v>
      </c>
      <c r="L291" s="11" t="s">
        <v>53</v>
      </c>
      <c r="M291" s="10" t="s">
        <v>13</v>
      </c>
      <c r="N291" s="12">
        <v>46317</v>
      </c>
      <c r="O291" s="10"/>
      <c r="P291" s="11"/>
    </row>
    <row r="292" spans="1:16" ht="63.75" customHeight="1" x14ac:dyDescent="0.35">
      <c r="A292" s="10">
        <v>291</v>
      </c>
      <c r="B292" s="10" t="s">
        <v>1308</v>
      </c>
      <c r="C292" s="11" t="s">
        <v>23</v>
      </c>
      <c r="D292" s="11" t="s">
        <v>1189</v>
      </c>
      <c r="E292" s="11" t="s">
        <v>1309</v>
      </c>
      <c r="F292" s="10" t="s">
        <v>57</v>
      </c>
      <c r="G292" s="10" t="s">
        <v>76</v>
      </c>
      <c r="H292" s="11" t="s">
        <v>580</v>
      </c>
      <c r="I292" s="11" t="s">
        <v>1310</v>
      </c>
      <c r="J292" s="11" t="s">
        <v>60</v>
      </c>
      <c r="K292" s="11" t="s">
        <v>1311</v>
      </c>
      <c r="L292" s="11" t="s">
        <v>53</v>
      </c>
      <c r="M292" s="10" t="s">
        <v>13</v>
      </c>
      <c r="N292" s="12">
        <v>46317</v>
      </c>
      <c r="O292" s="10"/>
      <c r="P292" s="11"/>
    </row>
    <row r="293" spans="1:16" ht="63.75" customHeight="1" x14ac:dyDescent="0.35">
      <c r="A293" s="10">
        <v>292</v>
      </c>
      <c r="B293" s="10" t="s">
        <v>1312</v>
      </c>
      <c r="C293" s="11" t="s">
        <v>23</v>
      </c>
      <c r="D293" s="11" t="s">
        <v>1189</v>
      </c>
      <c r="E293" s="11" t="s">
        <v>1313</v>
      </c>
      <c r="F293" s="10" t="s">
        <v>57</v>
      </c>
      <c r="G293" s="10" t="s">
        <v>49</v>
      </c>
      <c r="H293" s="11" t="s">
        <v>580</v>
      </c>
      <c r="I293" s="11" t="s">
        <v>1314</v>
      </c>
      <c r="J293" s="11" t="s">
        <v>60</v>
      </c>
      <c r="K293" s="11" t="s">
        <v>1164</v>
      </c>
      <c r="L293" s="11" t="s">
        <v>1315</v>
      </c>
      <c r="M293" s="10" t="s">
        <v>14</v>
      </c>
      <c r="N293" s="12">
        <v>46317</v>
      </c>
      <c r="O293" s="10" t="s">
        <v>1316</v>
      </c>
      <c r="P293" s="11" t="s">
        <v>1317</v>
      </c>
    </row>
    <row r="294" spans="1:16" ht="63.75" customHeight="1" x14ac:dyDescent="0.35">
      <c r="A294" s="10">
        <v>293</v>
      </c>
      <c r="B294" s="10" t="s">
        <v>1318</v>
      </c>
      <c r="C294" s="11" t="s">
        <v>23</v>
      </c>
      <c r="D294" s="11" t="s">
        <v>1189</v>
      </c>
      <c r="E294" s="11" t="s">
        <v>1319</v>
      </c>
      <c r="F294" s="10" t="s">
        <v>57</v>
      </c>
      <c r="G294" s="10" t="s">
        <v>49</v>
      </c>
      <c r="H294" s="11" t="s">
        <v>580</v>
      </c>
      <c r="I294" s="11" t="s">
        <v>1320</v>
      </c>
      <c r="J294" s="11" t="s">
        <v>60</v>
      </c>
      <c r="K294" s="11" t="s">
        <v>390</v>
      </c>
      <c r="L294" s="11" t="s">
        <v>1321</v>
      </c>
      <c r="M294" s="10" t="s">
        <v>14</v>
      </c>
      <c r="N294" s="12">
        <v>46317</v>
      </c>
      <c r="O294" s="10" t="s">
        <v>1322</v>
      </c>
      <c r="P294" s="11"/>
    </row>
    <row r="295" spans="1:16" ht="48.75" customHeight="1" x14ac:dyDescent="0.35">
      <c r="A295" s="10">
        <v>294</v>
      </c>
      <c r="B295" s="10" t="s">
        <v>1323</v>
      </c>
      <c r="C295" s="11" t="s">
        <v>23</v>
      </c>
      <c r="D295" s="11" t="s">
        <v>1189</v>
      </c>
      <c r="E295" s="11" t="s">
        <v>1324</v>
      </c>
      <c r="F295" s="10" t="s">
        <v>57</v>
      </c>
      <c r="G295" s="10" t="s">
        <v>76</v>
      </c>
      <c r="H295" s="11" t="s">
        <v>580</v>
      </c>
      <c r="I295" s="11" t="s">
        <v>1325</v>
      </c>
      <c r="J295" s="11" t="s">
        <v>1326</v>
      </c>
      <c r="K295" s="11" t="s">
        <v>997</v>
      </c>
      <c r="L295" s="11" t="s">
        <v>53</v>
      </c>
      <c r="M295" s="10" t="s">
        <v>13</v>
      </c>
      <c r="N295" s="12">
        <v>46317</v>
      </c>
      <c r="O295" s="10"/>
      <c r="P295" s="11"/>
    </row>
    <row r="296" spans="1:16" ht="48.75" customHeight="1" x14ac:dyDescent="0.35">
      <c r="A296" s="10">
        <v>295</v>
      </c>
      <c r="B296" s="10" t="s">
        <v>1327</v>
      </c>
      <c r="C296" s="11" t="s">
        <v>23</v>
      </c>
      <c r="D296" s="11" t="s">
        <v>1189</v>
      </c>
      <c r="E296" s="11" t="s">
        <v>1328</v>
      </c>
      <c r="F296" s="10" t="s">
        <v>57</v>
      </c>
      <c r="G296" s="10" t="s">
        <v>288</v>
      </c>
      <c r="H296" s="11" t="s">
        <v>580</v>
      </c>
      <c r="I296" s="11" t="s">
        <v>1329</v>
      </c>
      <c r="J296" s="11" t="s">
        <v>60</v>
      </c>
      <c r="K296" s="11" t="s">
        <v>1330</v>
      </c>
      <c r="L296" s="11" t="s">
        <v>53</v>
      </c>
      <c r="M296" s="10" t="s">
        <v>13</v>
      </c>
      <c r="N296" s="12">
        <v>46317</v>
      </c>
      <c r="O296" s="10"/>
      <c r="P296" s="11"/>
    </row>
    <row r="297" spans="1:16" ht="63.75" customHeight="1" x14ac:dyDescent="0.35">
      <c r="A297" s="10">
        <v>296</v>
      </c>
      <c r="B297" s="10" t="s">
        <v>1331</v>
      </c>
      <c r="C297" s="11" t="s">
        <v>23</v>
      </c>
      <c r="D297" s="11" t="s">
        <v>1189</v>
      </c>
      <c r="E297" s="11" t="s">
        <v>1332</v>
      </c>
      <c r="F297" s="10" t="s">
        <v>57</v>
      </c>
      <c r="G297" s="10" t="s">
        <v>49</v>
      </c>
      <c r="H297" s="11" t="s">
        <v>1333</v>
      </c>
      <c r="I297" s="11" t="s">
        <v>1334</v>
      </c>
      <c r="J297" s="11" t="s">
        <v>60</v>
      </c>
      <c r="K297" s="11" t="s">
        <v>1173</v>
      </c>
      <c r="L297" s="11" t="s">
        <v>53</v>
      </c>
      <c r="M297" s="10" t="s">
        <v>13</v>
      </c>
      <c r="N297" s="12">
        <v>46317</v>
      </c>
      <c r="O297" s="10"/>
      <c r="P297" s="11"/>
    </row>
    <row r="298" spans="1:16" ht="63.75" customHeight="1" x14ac:dyDescent="0.35">
      <c r="A298" s="10">
        <v>297</v>
      </c>
      <c r="B298" s="10" t="s">
        <v>1335</v>
      </c>
      <c r="C298" s="11" t="s">
        <v>23</v>
      </c>
      <c r="D298" s="11" t="s">
        <v>1189</v>
      </c>
      <c r="E298" s="11" t="s">
        <v>1336</v>
      </c>
      <c r="F298" s="10" t="s">
        <v>57</v>
      </c>
      <c r="G298" s="10" t="s">
        <v>76</v>
      </c>
      <c r="H298" s="11" t="s">
        <v>1337</v>
      </c>
      <c r="I298" s="11" t="s">
        <v>1338</v>
      </c>
      <c r="J298" s="11" t="s">
        <v>60</v>
      </c>
      <c r="K298" s="11" t="s">
        <v>1339</v>
      </c>
      <c r="L298" s="11" t="s">
        <v>53</v>
      </c>
      <c r="M298" s="10" t="s">
        <v>13</v>
      </c>
      <c r="N298" s="12">
        <v>46317</v>
      </c>
      <c r="O298" s="10"/>
      <c r="P298" s="11"/>
    </row>
    <row r="299" spans="1:16" ht="63.75" customHeight="1" x14ac:dyDescent="0.35">
      <c r="A299" s="10">
        <v>298</v>
      </c>
      <c r="B299" s="10" t="s">
        <v>1340</v>
      </c>
      <c r="C299" s="11" t="s">
        <v>23</v>
      </c>
      <c r="D299" s="11" t="s">
        <v>1189</v>
      </c>
      <c r="E299" s="11" t="s">
        <v>1341</v>
      </c>
      <c r="F299" s="10" t="s">
        <v>57</v>
      </c>
      <c r="G299" s="10" t="s">
        <v>76</v>
      </c>
      <c r="H299" s="11" t="s">
        <v>580</v>
      </c>
      <c r="I299" s="11" t="s">
        <v>1342</v>
      </c>
      <c r="J299" s="11" t="s">
        <v>60</v>
      </c>
      <c r="K299" s="11" t="s">
        <v>1343</v>
      </c>
      <c r="L299" s="11" t="s">
        <v>1315</v>
      </c>
      <c r="M299" s="10" t="s">
        <v>14</v>
      </c>
      <c r="N299" s="12">
        <v>46317</v>
      </c>
      <c r="O299" s="10" t="s">
        <v>1344</v>
      </c>
      <c r="P299" s="11"/>
    </row>
    <row r="300" spans="1:16" ht="33.75" customHeight="1" x14ac:dyDescent="0.35">
      <c r="A300" s="10">
        <v>299</v>
      </c>
      <c r="B300" s="10" t="s">
        <v>1345</v>
      </c>
      <c r="C300" s="11" t="s">
        <v>23</v>
      </c>
      <c r="D300" s="11" t="s">
        <v>1189</v>
      </c>
      <c r="E300" s="11" t="s">
        <v>1346</v>
      </c>
      <c r="F300" s="10" t="s">
        <v>57</v>
      </c>
      <c r="G300" s="10" t="s">
        <v>76</v>
      </c>
      <c r="H300" s="11" t="s">
        <v>691</v>
      </c>
      <c r="I300" s="11" t="s">
        <v>1347</v>
      </c>
      <c r="J300" s="11" t="s">
        <v>60</v>
      </c>
      <c r="K300" s="11" t="s">
        <v>1348</v>
      </c>
      <c r="L300" s="11" t="s">
        <v>53</v>
      </c>
      <c r="M300" s="10" t="s">
        <v>13</v>
      </c>
      <c r="N300" s="12">
        <v>46317</v>
      </c>
      <c r="O300" s="10"/>
      <c r="P300" s="11"/>
    </row>
  </sheetData>
  <autoFilter ref="A1:P300"/>
  <conditionalFormatting sqref="M16:M300 M2:M10">
    <cfRule type="cellIs" dxfId="5" priority="5" operator="equal">
      <formula>"Pass"</formula>
    </cfRule>
    <cfRule type="cellIs" dxfId="4" priority="6" operator="equal">
      <formula>"Fail"</formula>
    </cfRule>
    <cfRule type="cellIs" dxfId="3" priority="7" operator="equal">
      <formula>"Blocked"</formula>
    </cfRule>
  </conditionalFormatting>
  <conditionalFormatting sqref="M11:M15">
    <cfRule type="cellIs" dxfId="2" priority="1" operator="equal">
      <formula>"Pass"</formula>
    </cfRule>
    <cfRule type="cellIs" dxfId="1" priority="2" operator="equal">
      <formula>"Fail"</formula>
    </cfRule>
    <cfRule type="cellIs" dxfId="0" priority="3" operator="equal">
      <formula>"Blocked"</formula>
    </cfRule>
  </conditionalFormatting>
  <dataValidations count="1">
    <dataValidation type="list" allowBlank="1" sqref="M2:M300">
      <formula1>"Pass,Fail,Blocked,Chưa thực thi"</formula1>
      <formula2>0</formula2>
    </dataValidation>
  </dataValidations>
  <pageMargins left="0.75" right="0.75" top="1" bottom="1" header="0.511811023622047" footer="0.511811023622047"/>
  <pageSetup paperSize="8"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Tổng quan</vt:lpstr>
      <vt:lpstr>Test Case</vt:lpstr>
      <vt:lpstr>'Test Case'!Print_Titles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Trần Linh</cp:lastModifiedBy>
  <cp:revision>0</cp:revision>
  <dcterms:created xsi:type="dcterms:W3CDTF">2026-10-24T04:03:08Z</dcterms:created>
  <dcterms:modified xsi:type="dcterms:W3CDTF">2026-10-24T10:42:53Z</dcterms:modified>
  <dc:language>en-US</dc:language>
</cp:coreProperties>
</file>